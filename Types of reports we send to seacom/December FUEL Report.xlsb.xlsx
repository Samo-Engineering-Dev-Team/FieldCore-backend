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khileNdlovu\Documents\Seacom\NOC\Monthly Reports\"/>
    </mc:Choice>
  </mc:AlternateContent>
  <xr:revisionPtr revIDLastSave="0" documentId="13_ncr:1_{31F503B3-442A-483A-900F-A821E5029634}" xr6:coauthVersionLast="47" xr6:coauthVersionMax="47" xr10:uidLastSave="{00000000-0000-0000-0000-000000000000}"/>
  <bookViews>
    <workbookView xWindow="-108" yWindow="-108" windowWidth="23256" windowHeight="12456" xr2:uid="{81290BBD-23AF-4470-9518-A7040B3A303E}"/>
  </bookViews>
  <sheets>
    <sheet name="NLD 9" sheetId="1" r:id="rId1"/>
    <sheet name="Cost per Generator" sheetId="3" state="hidden" r:id="rId2"/>
    <sheet name="NLD 10" sheetId="2" r:id="rId3"/>
    <sheet name="NLD 1" sheetId="5" r:id="rId4"/>
    <sheet name="NLD 2" sheetId="7" r:id="rId5"/>
    <sheet name="Yzerfontein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0" i="2" l="1"/>
  <c r="E195" i="2"/>
  <c r="D195" i="2"/>
  <c r="E161" i="2"/>
  <c r="D161" i="2"/>
  <c r="E127" i="2"/>
  <c r="D127" i="2"/>
  <c r="E160" i="2"/>
  <c r="D160" i="2"/>
  <c r="E160" i="1"/>
  <c r="D160" i="1"/>
  <c r="C24" i="9"/>
  <c r="D94" i="7"/>
  <c r="D59" i="7"/>
  <c r="D24" i="7"/>
  <c r="B93" i="5"/>
  <c r="B58" i="5"/>
  <c r="B23" i="5"/>
  <c r="E228" i="2"/>
  <c r="D228" i="2"/>
  <c r="E193" i="2"/>
  <c r="D193" i="2"/>
  <c r="E159" i="2"/>
  <c r="D159" i="2"/>
  <c r="E125" i="2"/>
  <c r="D125" i="2"/>
  <c r="E91" i="2"/>
  <c r="D91" i="2"/>
  <c r="E57" i="2"/>
  <c r="D57" i="2"/>
  <c r="E23" i="2"/>
  <c r="D23" i="2"/>
  <c r="E159" i="1"/>
  <c r="D159" i="1"/>
  <c r="E125" i="1"/>
  <c r="D125" i="1"/>
  <c r="E91" i="1"/>
  <c r="D91" i="1"/>
  <c r="E57" i="1"/>
  <c r="D57" i="1"/>
  <c r="E23" i="1"/>
  <c r="D23" i="1"/>
  <c r="D93" i="7"/>
  <c r="D58" i="7"/>
  <c r="D23" i="9"/>
  <c r="C23" i="9"/>
  <c r="D22" i="9"/>
  <c r="C22" i="9"/>
  <c r="D21" i="9"/>
  <c r="C21" i="9"/>
  <c r="D20" i="9"/>
  <c r="C20" i="9"/>
  <c r="D19" i="9"/>
  <c r="C19" i="9"/>
  <c r="D92" i="7"/>
  <c r="D91" i="7"/>
  <c r="D90" i="7"/>
  <c r="D89" i="7"/>
  <c r="D57" i="7"/>
  <c r="R46" i="7"/>
  <c r="D22" i="7"/>
  <c r="D21" i="7"/>
  <c r="D20" i="7"/>
  <c r="D19" i="7"/>
  <c r="B91" i="5"/>
  <c r="B90" i="5"/>
  <c r="B89" i="5"/>
  <c r="B88" i="5"/>
  <c r="B56" i="5"/>
  <c r="B21" i="5"/>
  <c r="B20" i="5"/>
  <c r="B19" i="5"/>
  <c r="B18" i="5"/>
  <c r="E192" i="2"/>
  <c r="D192" i="2"/>
  <c r="E189" i="2"/>
  <c r="D189" i="2"/>
  <c r="E155" i="2"/>
  <c r="D155" i="2"/>
  <c r="E158" i="2"/>
  <c r="D158" i="2"/>
  <c r="E124" i="2"/>
  <c r="D124" i="2"/>
  <c r="E90" i="2"/>
  <c r="D90" i="2"/>
  <c r="E56" i="2"/>
  <c r="D56" i="2"/>
  <c r="E22" i="2"/>
  <c r="D22" i="2"/>
  <c r="E21" i="2"/>
  <c r="D21" i="2"/>
  <c r="E158" i="1"/>
  <c r="D158" i="1"/>
  <c r="E124" i="1"/>
  <c r="D124" i="1"/>
  <c r="E90" i="1"/>
  <c r="D90" i="1"/>
  <c r="E56" i="1"/>
  <c r="D56" i="1"/>
  <c r="E22" i="1"/>
  <c r="D22" i="1"/>
  <c r="O113" i="2"/>
  <c r="E157" i="1"/>
  <c r="D157" i="1"/>
  <c r="E156" i="1"/>
  <c r="D156" i="1"/>
  <c r="E155" i="1"/>
  <c r="D155" i="1"/>
  <c r="E154" i="1"/>
  <c r="D154" i="1"/>
  <c r="E123" i="1"/>
  <c r="D123" i="1"/>
  <c r="E122" i="1"/>
  <c r="D122" i="1"/>
  <c r="E121" i="1"/>
  <c r="D121" i="1"/>
  <c r="E120" i="1"/>
  <c r="D120" i="1"/>
  <c r="E89" i="1"/>
  <c r="D89" i="1"/>
  <c r="E88" i="1"/>
  <c r="D88" i="1"/>
  <c r="E87" i="1"/>
  <c r="D87" i="1"/>
  <c r="E86" i="1"/>
  <c r="D86" i="1"/>
  <c r="E55" i="1"/>
  <c r="D55" i="1"/>
  <c r="E54" i="1"/>
  <c r="D54" i="1"/>
  <c r="E53" i="1"/>
  <c r="D53" i="1"/>
  <c r="E52" i="1"/>
  <c r="D52" i="1"/>
  <c r="E21" i="1"/>
  <c r="D21" i="1"/>
  <c r="E20" i="1"/>
  <c r="D20" i="1"/>
  <c r="E19" i="1"/>
  <c r="D19" i="1"/>
  <c r="E18" i="1"/>
  <c r="D18" i="1"/>
</calcChain>
</file>

<file path=xl/sharedStrings.xml><?xml version="1.0" encoding="utf-8"?>
<sst xmlns="http://schemas.openxmlformats.org/spreadsheetml/2006/main" count="1414" uniqueCount="250">
  <si>
    <t xml:space="preserve">   REPORT PERIOD 2025</t>
  </si>
  <si>
    <t xml:space="preserve">SITE FUEL USEGE : NLD 9: KLI-PAR-KRO-VEN-KLE           </t>
  </si>
  <si>
    <t xml:space="preserve">SITE FUEL USEGE : NLD 9: KLI     </t>
  </si>
  <si>
    <t xml:space="preserve">KLP Repeater </t>
  </si>
  <si>
    <t>KLI</t>
  </si>
  <si>
    <t>GEN 1</t>
  </si>
  <si>
    <t>GEN 2</t>
  </si>
  <si>
    <t>Type/Model</t>
  </si>
  <si>
    <t>Cummins</t>
  </si>
  <si>
    <t>Week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</si>
  <si>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</si>
  <si>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</si>
  <si>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</si>
  <si>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</si>
  <si>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</si>
  <si>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</si>
  <si>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</si>
  <si>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</si>
  <si>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</si>
  <si>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</si>
  <si>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</si>
  <si>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</si>
  <si>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</si>
  <si>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</si>
  <si>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</si>
  <si>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</si>
  <si>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</si>
  <si>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</si>
  <si>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</si>
  <si>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</si>
  <si>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</si>
  <si>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</si>
  <si>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</si>
  <si>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</si>
  <si>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</si>
  <si>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</si>
  <si>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</si>
  <si>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</si>
  <si>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</si>
  <si>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</si>
  <si>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</si>
  <si>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</si>
  <si>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</si>
  <si>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</si>
  <si>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Serial Number</t>
  </si>
  <si>
    <t>F12-200473</t>
  </si>
  <si>
    <t>G12-200763</t>
  </si>
  <si>
    <t>Gen 1</t>
  </si>
  <si>
    <t>Current run Hours</t>
  </si>
  <si>
    <t>Gen 2</t>
  </si>
  <si>
    <t>Last Service date</t>
  </si>
  <si>
    <t>Hours recorded at service</t>
  </si>
  <si>
    <t>2550;25</t>
  </si>
  <si>
    <t>2482;14</t>
  </si>
  <si>
    <t>Hours since last service</t>
  </si>
  <si>
    <t>9;44</t>
  </si>
  <si>
    <t>189;52</t>
  </si>
  <si>
    <t>Month</t>
  </si>
  <si>
    <t>GEN2</t>
  </si>
  <si>
    <t>May</t>
  </si>
  <si>
    <t>June</t>
  </si>
  <si>
    <t xml:space="preserve">July 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</si>
  <si>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</si>
  <si>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</si>
  <si>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</si>
  <si>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</si>
  <si>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</si>
  <si>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</si>
  <si>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</si>
  <si>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</si>
  <si>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</si>
  <si>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SITE FUEL USEGE : NLD 9: PAR          </t>
  </si>
  <si>
    <t xml:space="preserve">Parys Repeater </t>
  </si>
  <si>
    <t>PAR</t>
  </si>
  <si>
    <t>E11-065994</t>
  </si>
  <si>
    <t>B11-06733</t>
  </si>
  <si>
    <t>2080;36</t>
  </si>
  <si>
    <t>2104;02</t>
  </si>
  <si>
    <t>2002;42</t>
  </si>
  <si>
    <t>2012;23</t>
  </si>
  <si>
    <t>77;54</t>
  </si>
  <si>
    <t>91;39</t>
  </si>
  <si>
    <t xml:space="preserve">SITE FUEL USEGE : NLD 9: KRO      </t>
  </si>
  <si>
    <t xml:space="preserve"> KROONSTAD Repeater </t>
  </si>
  <si>
    <t>KRO</t>
  </si>
  <si>
    <t>3544;21</t>
  </si>
  <si>
    <t>2342;45</t>
  </si>
  <si>
    <t>3482;05</t>
  </si>
  <si>
    <t>2300;23</t>
  </si>
  <si>
    <t>63;16</t>
  </si>
  <si>
    <t>42;22</t>
  </si>
  <si>
    <t xml:space="preserve">SITE FUEL USEGE : NLD 9: VEN    </t>
  </si>
  <si>
    <t xml:space="preserve">VENTERSBURG Repeater </t>
  </si>
  <si>
    <t>VEN</t>
  </si>
  <si>
    <t>E11-065995</t>
  </si>
  <si>
    <t>B11-065989</t>
  </si>
  <si>
    <t>4827;38</t>
  </si>
  <si>
    <t>4358;26</t>
  </si>
  <si>
    <t>27;20</t>
  </si>
  <si>
    <t>11;29</t>
  </si>
  <si>
    <t>SITE FUEL USEGE : NLD 9: KLE</t>
  </si>
  <si>
    <t xml:space="preserve">KLEINFONTEIN  Repeater </t>
  </si>
  <si>
    <t>KLE</t>
  </si>
  <si>
    <t>E11-200457</t>
  </si>
  <si>
    <t>B11-200674</t>
  </si>
  <si>
    <t>1933;11</t>
  </si>
  <si>
    <t>2216;41</t>
  </si>
  <si>
    <t>146;01</t>
  </si>
  <si>
    <t>119;36</t>
  </si>
  <si>
    <t>FULL NAME:</t>
  </si>
  <si>
    <t>Sakhile Ndlovu</t>
  </si>
  <si>
    <t>SIGNATURE:</t>
  </si>
  <si>
    <t>COMPANY:</t>
  </si>
  <si>
    <t>Samo Engineering Telecommunication</t>
  </si>
  <si>
    <t>DATE:</t>
  </si>
  <si>
    <t>31/10/2025</t>
  </si>
  <si>
    <t>Cost p/litre</t>
  </si>
  <si>
    <t>R23,17</t>
  </si>
  <si>
    <t xml:space="preserve">SITE FUEL USEGE : NLD 10 : RED-SMI-ALI-KAA-ESP-GLE-STU         </t>
  </si>
  <si>
    <t>SITE FUEL USEGE : NLD10:RED</t>
  </si>
  <si>
    <t xml:space="preserve">RED Repeater </t>
  </si>
  <si>
    <t xml:space="preserve">RED </t>
  </si>
  <si>
    <t>E11-065732</t>
  </si>
  <si>
    <t>B11-065735</t>
  </si>
  <si>
    <t>21HRS11MIN</t>
  </si>
  <si>
    <t>23HRS35</t>
  </si>
  <si>
    <t>2968;53</t>
  </si>
  <si>
    <t>1954;19</t>
  </si>
  <si>
    <t>109;53</t>
  </si>
  <si>
    <t>99;02</t>
  </si>
  <si>
    <t xml:space="preserve">SITE FUEL USEGE : NLD 10: SMI          </t>
  </si>
  <si>
    <t xml:space="preserve">SMI Repeater </t>
  </si>
  <si>
    <t>4932;45</t>
  </si>
  <si>
    <t>3775;32</t>
  </si>
  <si>
    <t>4785;23</t>
  </si>
  <si>
    <t>3721;55</t>
  </si>
  <si>
    <t>147;22</t>
  </si>
  <si>
    <t>53;37</t>
  </si>
  <si>
    <t>SITE FUEL USEGE : NLD 10:ALI</t>
  </si>
  <si>
    <t xml:space="preserve">ALI Repeater </t>
  </si>
  <si>
    <t xml:space="preserve">ALI </t>
  </si>
  <si>
    <t>2508;10</t>
  </si>
  <si>
    <t>1743;01</t>
  </si>
  <si>
    <t>13/03/2024</t>
  </si>
  <si>
    <t>2418;20</t>
  </si>
  <si>
    <t>1657;18</t>
  </si>
  <si>
    <t>98;50</t>
  </si>
  <si>
    <t>85;43</t>
  </si>
  <si>
    <t xml:space="preserve">SITE FUEL USEGE : NLD 10:KAA  </t>
  </si>
  <si>
    <t xml:space="preserve">KAA Repeater </t>
  </si>
  <si>
    <t>E11-200474</t>
  </si>
  <si>
    <t>B11-200465</t>
  </si>
  <si>
    <t>3791;48</t>
  </si>
  <si>
    <t>1967;24</t>
  </si>
  <si>
    <t>3722;52</t>
  </si>
  <si>
    <t>1874;25</t>
  </si>
  <si>
    <t>68;56</t>
  </si>
  <si>
    <t>92;59</t>
  </si>
  <si>
    <t>SITE FUEL USEGE : NLD 10-ESP</t>
  </si>
  <si>
    <t xml:space="preserve">ESP  Repeater </t>
  </si>
  <si>
    <t>E11-200458</t>
  </si>
  <si>
    <t>B11-200476</t>
  </si>
  <si>
    <t>2044;34</t>
  </si>
  <si>
    <t>2843;24</t>
  </si>
  <si>
    <t>14/03/2024</t>
  </si>
  <si>
    <t>14/03/2025</t>
  </si>
  <si>
    <t>1832;21</t>
  </si>
  <si>
    <t>2667;14</t>
  </si>
  <si>
    <t>212;13</t>
  </si>
  <si>
    <t>176;10</t>
  </si>
  <si>
    <t>SITE FUEL USEGE : NLD 10-GLE</t>
  </si>
  <si>
    <t xml:space="preserve">GLE  Repeater </t>
  </si>
  <si>
    <t>E11-200459</t>
  </si>
  <si>
    <t>B11-200477</t>
  </si>
  <si>
    <t>2786;10</t>
  </si>
  <si>
    <t>2591;16</t>
  </si>
  <si>
    <t>2710;25</t>
  </si>
  <si>
    <t>2473;50</t>
  </si>
  <si>
    <t>75;45</t>
  </si>
  <si>
    <t>117;26</t>
  </si>
  <si>
    <t>SITE FUEL USEGE : NLD 10-STU</t>
  </si>
  <si>
    <t xml:space="preserve">STU Repeater </t>
  </si>
  <si>
    <t xml:space="preserve">STU  Repeater </t>
  </si>
  <si>
    <t>E11-200475</t>
  </si>
  <si>
    <t>B11-200460</t>
  </si>
  <si>
    <t>2369;44</t>
  </si>
  <si>
    <t>2494;04</t>
  </si>
  <si>
    <t>2265;47</t>
  </si>
  <si>
    <t>2381;44</t>
  </si>
  <si>
    <t>103;57</t>
  </si>
  <si>
    <t>112;20</t>
  </si>
  <si>
    <t>SITE FUEL USEGE : NLD 2 : Harrismith-Estcourt-Heidelburg</t>
  </si>
  <si>
    <t>SITE FUEL USEGE : NLD1:Harrismith</t>
  </si>
  <si>
    <t xml:space="preserve">PCF Repeater </t>
  </si>
  <si>
    <t xml:space="preserve">Harrismith Repeater </t>
  </si>
  <si>
    <t>Himoinsa</t>
  </si>
  <si>
    <t>5726;07</t>
  </si>
  <si>
    <t>5489;10</t>
  </si>
  <si>
    <t>Hours to next service</t>
  </si>
  <si>
    <t>13;03</t>
  </si>
  <si>
    <t>236;57</t>
  </si>
  <si>
    <t xml:space="preserve">SITE FUEL USEGE : NLD 1: Estcourt     </t>
  </si>
  <si>
    <t xml:space="preserve">KPF Repeater </t>
  </si>
  <si>
    <t xml:space="preserve">Estcourt Repeater </t>
  </si>
  <si>
    <t>161;06</t>
  </si>
  <si>
    <t>159;30</t>
  </si>
  <si>
    <t>Hours to the next service</t>
  </si>
  <si>
    <t>248;24</t>
  </si>
  <si>
    <t>1;36</t>
  </si>
  <si>
    <t>SITE FUEL USEGE : NLD 1:Heidelburg</t>
  </si>
  <si>
    <t xml:space="preserve">KMF Repeater </t>
  </si>
  <si>
    <t xml:space="preserve">Heidelburg Repeater </t>
  </si>
  <si>
    <t>4537;01</t>
  </si>
  <si>
    <t>15/2/2024</t>
  </si>
  <si>
    <t>4328;43</t>
  </si>
  <si>
    <t>41'42</t>
  </si>
  <si>
    <t>208;15</t>
  </si>
  <si>
    <t xml:space="preserve">SITE FUEL USEGE : NLD 2 : Kimberly-Klerpsdorp-Potchefstroom   </t>
  </si>
  <si>
    <t>SITE FUEL USEGE : NLD2:Kimberly</t>
  </si>
  <si>
    <t xml:space="preserve">Kimberly Repeater </t>
  </si>
  <si>
    <t>344;39</t>
  </si>
  <si>
    <t>340;59</t>
  </si>
  <si>
    <t>246;20</t>
  </si>
  <si>
    <t>3;40</t>
  </si>
  <si>
    <t xml:space="preserve">SITE FUEL USEGE : NLD 2: Klerpsdorp    </t>
  </si>
  <si>
    <t xml:space="preserve"> Klerpsdorp Repeater </t>
  </si>
  <si>
    <t xml:space="preserve">Klerpsdorp Repeater </t>
  </si>
  <si>
    <t>8730;59</t>
  </si>
  <si>
    <t>8600;53</t>
  </si>
  <si>
    <t>119;54</t>
  </si>
  <si>
    <t>130;06</t>
  </si>
  <si>
    <t xml:space="preserve">SITE FUEL USEGE : NLD 2:Potchefstroom   </t>
  </si>
  <si>
    <t xml:space="preserve"> Potchefstroom Repeater </t>
  </si>
  <si>
    <t xml:space="preserve">Potchefstroom  Repeater </t>
  </si>
  <si>
    <t>3049;59</t>
  </si>
  <si>
    <t>2985;29</t>
  </si>
  <si>
    <t>186;30</t>
  </si>
  <si>
    <t>63;30</t>
  </si>
  <si>
    <t xml:space="preserve">SITE FUEL USEGE : Yzerfontein        </t>
  </si>
  <si>
    <t xml:space="preserve">SITE FUEL USEGE : Yzerfontein  </t>
  </si>
  <si>
    <t>Yzerfontein</t>
  </si>
  <si>
    <t>Perkins</t>
  </si>
  <si>
    <t>1423;47</t>
  </si>
  <si>
    <t>1589;49</t>
  </si>
  <si>
    <t>1358;47</t>
  </si>
  <si>
    <t>1588;56</t>
  </si>
  <si>
    <t>184;59</t>
  </si>
  <si>
    <t>249;07</t>
  </si>
  <si>
    <t>65;01</t>
  </si>
  <si>
    <t>0;53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</si>
</sst>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4"/>
      <color indexed="8"/>
      <name val="Calibri"/>
      <family val="2"/>
    </font>
    <font>
      <sz val="11"/>
      <color indexed="8"/>
      <name val="Calibri"/>
      <family val="2"/>
    </font>
    <font>
      <i/>
      <sz val="11"/>
      <color theme="1"/>
      <name val="Brush Script MT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0" fillId="0" borderId="6" xfId="0" applyBorder="1"/>
    <xf numFmtId="0" fontId="3" fillId="0" borderId="1" xfId="0" applyFont="1" applyBorder="1"/>
    <xf numFmtId="0" fontId="6" fillId="0" borderId="1" xfId="0" applyFont="1" applyBorder="1"/>
    <xf numFmtId="0" fontId="4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6" fillId="0" borderId="2" xfId="0" applyFont="1" applyBorder="1"/>
    <xf numFmtId="0" fontId="6" fillId="0" borderId="7" xfId="0" applyFont="1" applyBorder="1"/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9" fillId="0" borderId="0" xfId="0" applyFont="1"/>
    <xf numFmtId="0" fontId="6" fillId="0" borderId="0" xfId="0" applyFont="1"/>
    <xf numFmtId="0" fontId="0" fillId="0" borderId="11" xfId="0" applyBorder="1"/>
    <xf numFmtId="0" fontId="0" fillId="0" borderId="12" xfId="0" applyBorder="1"/>
    <xf numFmtId="46" fontId="6" fillId="0" borderId="1" xfId="0" applyNumberFormat="1" applyFont="1" applyBorder="1"/>
    <xf numFmtId="46" fontId="6" fillId="0" borderId="7" xfId="0" applyNumberFormat="1" applyFont="1" applyBorder="1"/>
    <xf numFmtId="14" fontId="6" fillId="0" borderId="1" xfId="0" applyNumberFormat="1" applyFont="1" applyBorder="1"/>
    <xf numFmtId="164" fontId="0" fillId="0" borderId="0" xfId="0" applyNumberFormat="1"/>
    <xf numFmtId="0" fontId="0" fillId="0" borderId="13" xfId="0" applyBorder="1"/>
    <xf numFmtId="0" fontId="10" fillId="0" borderId="0" xfId="0" applyFont="1"/>
    <xf numFmtId="0" fontId="0" fillId="0" borderId="14" xfId="0" applyBorder="1"/>
    <xf numFmtId="0" fontId="7" fillId="0" borderId="7" xfId="0" applyFont="1" applyBorder="1"/>
    <xf numFmtId="0" fontId="8" fillId="0" borderId="7" xfId="0" applyFont="1" applyBorder="1"/>
    <xf numFmtId="0" fontId="3" fillId="0" borderId="15" xfId="0" applyFont="1" applyBorder="1"/>
    <xf numFmtId="0" fontId="1" fillId="0" borderId="13" xfId="0" applyFont="1" applyBorder="1"/>
    <xf numFmtId="0" fontId="3" fillId="0" borderId="0" xfId="0" applyFont="1"/>
    <xf numFmtId="0" fontId="6" fillId="0" borderId="13" xfId="0" applyFont="1" applyBorder="1"/>
    <xf numFmtId="0" fontId="4" fillId="0" borderId="16" xfId="0" applyFont="1" applyBorder="1"/>
    <xf numFmtId="0" fontId="7" fillId="0" borderId="16" xfId="0" applyFont="1" applyBorder="1"/>
    <xf numFmtId="0" fontId="6" fillId="0" borderId="13" xfId="0" applyFont="1" applyBorder="1" applyAlignment="1">
      <alignment horizontal="left"/>
    </xf>
    <xf numFmtId="0" fontId="4" fillId="0" borderId="13" xfId="0" applyFont="1" applyBorder="1"/>
    <xf numFmtId="0" fontId="8" fillId="0" borderId="13" xfId="0" applyFont="1" applyBorder="1"/>
    <xf numFmtId="0" fontId="4" fillId="0" borderId="0" xfId="0" applyFont="1"/>
    <xf numFmtId="0" fontId="8" fillId="0" borderId="0" xfId="0" applyFont="1"/>
    <xf numFmtId="0" fontId="0" fillId="0" borderId="17" xfId="0" applyBorder="1"/>
    <xf numFmtId="14" fontId="6" fillId="0" borderId="13" xfId="0" applyNumberFormat="1" applyFont="1" applyBorder="1" applyAlignment="1">
      <alignment horizontal="left"/>
    </xf>
    <xf numFmtId="14" fontId="6" fillId="0" borderId="0" xfId="0" applyNumberFormat="1" applyFont="1"/>
    <xf numFmtId="0" fontId="3" fillId="0" borderId="13" xfId="0" applyFont="1" applyBorder="1"/>
    <xf numFmtId="0" fontId="3" fillId="0" borderId="18" xfId="0" applyFont="1" applyBorder="1"/>
    <xf numFmtId="0" fontId="6" fillId="0" borderId="19" xfId="0" applyFont="1" applyBorder="1"/>
    <xf numFmtId="14" fontId="6" fillId="0" borderId="13" xfId="0" applyNumberFormat="1" applyFont="1" applyBorder="1"/>
    <xf numFmtId="0" fontId="0" fillId="0" borderId="20" xfId="0" applyBorder="1"/>
    <xf numFmtId="0" fontId="1" fillId="0" borderId="17" xfId="0" applyFont="1" applyBorder="1"/>
    <xf numFmtId="0" fontId="0" fillId="0" borderId="21" xfId="0" applyBorder="1"/>
    <xf numFmtId="3" fontId="8" fillId="0" borderId="13" xfId="0" applyNumberFormat="1" applyFont="1" applyBorder="1"/>
    <xf numFmtId="46" fontId="6" fillId="0" borderId="13" xfId="0" applyNumberFormat="1" applyFont="1" applyBorder="1"/>
    <xf numFmtId="0" fontId="9" fillId="0" borderId="13" xfId="0" applyFont="1" applyBorder="1"/>
    <xf numFmtId="0" fontId="7" fillId="0" borderId="13" xfId="0" applyFont="1" applyBorder="1"/>
    <xf numFmtId="49" fontId="11" fillId="3" borderId="22" xfId="0" applyNumberFormat="1" applyFont="1" applyFill="1" applyBorder="1"/>
    <xf numFmtId="0" fontId="12" fillId="3" borderId="22" xfId="0" applyFont="1" applyFill="1" applyBorder="1"/>
    <xf numFmtId="0" fontId="12" fillId="3" borderId="23" xfId="0" applyFont="1" applyFill="1" applyBorder="1"/>
    <xf numFmtId="0" fontId="0" fillId="3" borderId="22" xfId="0" applyFill="1" applyBorder="1"/>
    <xf numFmtId="0" fontId="0" fillId="3" borderId="24" xfId="0" applyFill="1" applyBorder="1"/>
    <xf numFmtId="0" fontId="0" fillId="3" borderId="22" xfId="0" applyFill="1" applyBorder="1" applyAlignment="1">
      <alignment horizontal="center"/>
    </xf>
    <xf numFmtId="0" fontId="13" fillId="3" borderId="24" xfId="0" applyFont="1" applyFill="1" applyBorder="1"/>
    <xf numFmtId="0" fontId="8" fillId="0" borderId="25" xfId="0" applyFont="1" applyBorder="1"/>
    <xf numFmtId="0" fontId="8" fillId="0" borderId="16" xfId="0" applyFont="1" applyBorder="1"/>
    <xf numFmtId="0" fontId="5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13" xfId="0" applyFont="1" applyBorder="1" applyAlignment="1">
      <alignment horizontal="center"/>
    </xf>
    <xf numFmtId="0" fontId="4" fillId="2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0"/>
              <a:t>KLIP</a:t>
            </a:r>
            <a:r>
              <a:rPr lang="en-ZA" b="0" baseline="0"/>
              <a:t> WEEKLY FUEL</a:t>
            </a:r>
            <a:endParaRPr lang="en-ZA" b="0"/>
          </a:p>
        </c:rich>
      </c:tx>
      <c:overlay val="0"/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'NLD 9'!$G$11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'NLD 9'!$H$10:$AO$10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9'!$H$11:$AO$11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6-468E-84EC-602CCEA1D3E5}"/>
            </c:ext>
          </c:extLst>
        </c:ser>
        <c:ser>
          <c:idx val="1"/>
          <c:order val="1"/>
          <c:tx>
            <c:strRef>
              <c:f>'NLD 9'!$G$12</c:f>
              <c:strCache>
                <c:ptCount val="1"/>
                <c:pt idx="0">
                  <c:v>Gen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'NLD 9'!$H$10:$AO$10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9'!$H$12:$AO$12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8E-444D-BBDF-3F710B556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1905072"/>
        <c:axId val="1311915152"/>
      </c:barChart>
      <c:catAx>
        <c:axId val="131190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2000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915152"/>
        <c:crosses val="autoZero"/>
        <c:auto val="1"/>
        <c:lblAlgn val="ctr"/>
        <c:lblOffset val="100"/>
        <c:noMultiLvlLbl val="0"/>
      </c:catAx>
      <c:valAx>
        <c:axId val="131191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3200" b="1"/>
                  <a:t>Liters</a:t>
                </a:r>
                <a:r>
                  <a:rPr lang="en-ZA" sz="3200" b="1" baseline="0"/>
                  <a:t> </a:t>
                </a:r>
                <a:endParaRPr lang="en-ZA" sz="3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90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KLE</a:t>
            </a:r>
            <a:r>
              <a:rPr lang="en-ZA" baseline="0"/>
              <a:t>  WEEKLY REPORT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'NLD 9'!$G$147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'NLD 9'!$H$146:$AO$146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9'!$H$147:$AO$147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13</c:v>
                </c:pt>
                <c:pt idx="26">
                  <c:v>15</c:v>
                </c:pt>
                <c:pt idx="27">
                  <c:v>20</c:v>
                </c:pt>
                <c:pt idx="28">
                  <c:v>78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5-43EE-9856-CFB9F936108F}"/>
            </c:ext>
          </c:extLst>
        </c:ser>
        <c:ser>
          <c:idx val="1"/>
          <c:order val="1"/>
          <c:tx>
            <c:strRef>
              <c:f>'NLD 9'!$G$148</c:f>
              <c:strCache>
                <c:ptCount val="1"/>
                <c:pt idx="0">
                  <c:v>Gen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'NLD 9'!$H$146:$AO$146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9'!$H$148:$AO$148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</c:v>
                </c:pt>
                <c:pt idx="19">
                  <c:v>0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13</c:v>
                </c:pt>
                <c:pt idx="26">
                  <c:v>45</c:v>
                </c:pt>
                <c:pt idx="27">
                  <c:v>0</c:v>
                </c:pt>
                <c:pt idx="28">
                  <c:v>78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5-43EE-9856-CFB9F9361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5894480"/>
        <c:axId val="885897840"/>
      </c:barChart>
      <c:catAx>
        <c:axId val="885894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97840"/>
        <c:crosses val="autoZero"/>
        <c:auto val="1"/>
        <c:lblAlgn val="ctr"/>
        <c:lblOffset val="100"/>
        <c:noMultiLvlLbl val="0"/>
      </c:catAx>
      <c:valAx>
        <c:axId val="88589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lITERS</a:t>
                </a:r>
              </a:p>
            </c:rich>
          </c:tx>
          <c:layout>
            <c:manualLayout>
              <c:xMode val="edge"/>
              <c:yMode val="edge"/>
              <c:x val="8.6880973066898355E-3"/>
              <c:y val="0.332492432698786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9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VEN</a:t>
            </a:r>
            <a:r>
              <a:rPr lang="en-ZA" baseline="0"/>
              <a:t> Weekly Fuel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'NLD 9'!$G$113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'NLD 9'!$H$112:$AO$112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9'!$H$113:$AO$113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7-49EB-9BD0-051425C5D600}"/>
            </c:ext>
          </c:extLst>
        </c:ser>
        <c:ser>
          <c:idx val="1"/>
          <c:order val="1"/>
          <c:tx>
            <c:strRef>
              <c:f>'NLD 9'!$G$114</c:f>
              <c:strCache>
                <c:ptCount val="1"/>
                <c:pt idx="0">
                  <c:v>Gen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'NLD 9'!$H$112:$AO$112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9'!$H$114:$AO$114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E7-49EB-9BD0-051425C5D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9577519"/>
        <c:axId val="1839576559"/>
      </c:barChart>
      <c:catAx>
        <c:axId val="183957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576559"/>
        <c:crosses val="autoZero"/>
        <c:auto val="1"/>
        <c:lblAlgn val="ctr"/>
        <c:lblOffset val="100"/>
        <c:noMultiLvlLbl val="0"/>
      </c:catAx>
      <c:valAx>
        <c:axId val="183957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57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KRO Weekly FUEL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'NLD 9'!$G$79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'NLD 9'!$H$78:$AO$78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9'!$H$79:$AO$79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F-4B1D-B079-CA2C333603FE}"/>
            </c:ext>
          </c:extLst>
        </c:ser>
        <c:ser>
          <c:idx val="1"/>
          <c:order val="1"/>
          <c:tx>
            <c:strRef>
              <c:f>'NLD 9'!$G$80</c:f>
              <c:strCache>
                <c:ptCount val="1"/>
                <c:pt idx="0">
                  <c:v>Gen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'NLD 9'!$H$78:$AO$78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9'!$H$80:$AO$80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E-43E3-814D-18AF0B473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520623"/>
        <c:axId val="1106521103"/>
      </c:barChart>
      <c:catAx>
        <c:axId val="110652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521103"/>
        <c:crosses val="autoZero"/>
        <c:auto val="1"/>
        <c:lblAlgn val="ctr"/>
        <c:lblOffset val="100"/>
        <c:noMultiLvlLbl val="0"/>
      </c:catAx>
      <c:valAx>
        <c:axId val="110652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52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PARYS FUEL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'NLD 9'!$G$45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'NLD 9'!$H$44:$AO$44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9'!$H$45:$AO$45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4-4742-9EBB-DF3DD914B8D8}"/>
            </c:ext>
          </c:extLst>
        </c:ser>
        <c:ser>
          <c:idx val="1"/>
          <c:order val="1"/>
          <c:tx>
            <c:strRef>
              <c:f>'NLD 9'!$G$46</c:f>
              <c:strCache>
                <c:ptCount val="1"/>
                <c:pt idx="0">
                  <c:v>Gen 2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'NLD 9'!$H$44:$AO$44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9'!$H$46:$AO$46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04-4742-9EBB-DF3DD914B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038151"/>
        <c:axId val="170745863"/>
      </c:barChart>
      <c:catAx>
        <c:axId val="164038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45863"/>
        <c:crosses val="autoZero"/>
        <c:auto val="1"/>
        <c:lblAlgn val="ctr"/>
        <c:lblOffset val="100"/>
        <c:noMultiLvlLbl val="0"/>
      </c:catAx>
      <c:valAx>
        <c:axId val="170745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8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0" baseline="0"/>
              <a:t>RED WEEKLY FUEL</a:t>
            </a:r>
            <a:endParaRPr lang="en-ZA" b="0"/>
          </a:p>
        </c:rich>
      </c:tx>
      <c:overlay val="0"/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'NLD 10'!$G$11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'NLD 10'!$H$10:$AO$10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10'!$H$11:$AO$11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B-4D35-9385-4101C095C6D7}"/>
            </c:ext>
          </c:extLst>
        </c:ser>
        <c:ser>
          <c:idx val="1"/>
          <c:order val="1"/>
          <c:tx>
            <c:strRef>
              <c:f>'NLD 10'!$G$12</c:f>
              <c:strCache>
                <c:ptCount val="1"/>
                <c:pt idx="0">
                  <c:v>Gen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'NLD 10'!$H$10:$AO$10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10'!$H$12:$AO$12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4B-4D35-9385-4101C095C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1905072"/>
        <c:axId val="1311915152"/>
      </c:barChart>
      <c:catAx>
        <c:axId val="131190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2000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915152"/>
        <c:crosses val="autoZero"/>
        <c:auto val="1"/>
        <c:lblAlgn val="ctr"/>
        <c:lblOffset val="100"/>
        <c:noMultiLvlLbl val="0"/>
      </c:catAx>
      <c:valAx>
        <c:axId val="131191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3200" b="1"/>
                  <a:t>Liters</a:t>
                </a:r>
                <a:r>
                  <a:rPr lang="en-ZA" sz="3200" b="1" baseline="0"/>
                  <a:t> </a:t>
                </a:r>
                <a:endParaRPr lang="en-ZA" sz="3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90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SMI-</a:t>
            </a:r>
            <a:r>
              <a:rPr lang="en-ZA" baseline="0"/>
              <a:t> WEEKLY REPORT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'NLD 10'!$G$45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'NLD 10'!$H$44:$AO$44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10'!$H$45:$AO$45</c:f>
              <c:numCache>
                <c:formatCode>General</c:formatCode>
                <c:ptCount val="34"/>
                <c:pt idx="0">
                  <c:v>0</c:v>
                </c:pt>
                <c:pt idx="1">
                  <c:v>20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28</c:v>
                </c:pt>
                <c:pt idx="6">
                  <c:v>0</c:v>
                </c:pt>
                <c:pt idx="7">
                  <c:v>75</c:v>
                </c:pt>
                <c:pt idx="8">
                  <c:v>76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</c:v>
                </c:pt>
                <c:pt idx="30">
                  <c:v>0</c:v>
                </c:pt>
                <c:pt idx="31">
                  <c:v>0</c:v>
                </c:pt>
                <c:pt idx="32">
                  <c:v>80</c:v>
                </c:pt>
                <c:pt idx="3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2-4881-9EE2-2D4FFE8E2947}"/>
            </c:ext>
          </c:extLst>
        </c:ser>
        <c:ser>
          <c:idx val="1"/>
          <c:order val="1"/>
          <c:tx>
            <c:strRef>
              <c:f>'NLD 10'!$G$46</c:f>
              <c:strCache>
                <c:ptCount val="1"/>
                <c:pt idx="0">
                  <c:v>Gen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'NLD 10'!$H$44:$AO$44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10'!$H$46:$AO$46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17</c:v>
                </c:pt>
                <c:pt idx="6">
                  <c:v>60</c:v>
                </c:pt>
                <c:pt idx="7">
                  <c:v>65</c:v>
                </c:pt>
                <c:pt idx="8">
                  <c:v>64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  <c:pt idx="30">
                  <c:v>0</c:v>
                </c:pt>
                <c:pt idx="31">
                  <c:v>0</c:v>
                </c:pt>
                <c:pt idx="32">
                  <c:v>40</c:v>
                </c:pt>
                <c:pt idx="3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2-4881-9EE2-2D4FFE8E2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213584"/>
        <c:axId val="1333211664"/>
      </c:barChart>
      <c:catAx>
        <c:axId val="1333213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211664"/>
        <c:crosses val="autoZero"/>
        <c:auto val="1"/>
        <c:lblAlgn val="ctr"/>
        <c:lblOffset val="100"/>
        <c:noMultiLvlLbl val="0"/>
      </c:catAx>
      <c:valAx>
        <c:axId val="133321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Literse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21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ALI</a:t>
            </a:r>
            <a:r>
              <a:rPr lang="en-ZA" baseline="0"/>
              <a:t> -WEEKLY FUEL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'NLD 10'!$G$79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'NLD 10'!$H$78:$AO$78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10'!$H$79:$AO$79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4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</c:v>
                </c:pt>
                <c:pt idx="18">
                  <c:v>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</c:v>
                </c:pt>
                <c:pt idx="29">
                  <c:v>0</c:v>
                </c:pt>
                <c:pt idx="30">
                  <c:v>0</c:v>
                </c:pt>
                <c:pt idx="31">
                  <c:v>25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E-4B87-BA83-F462AD86250B}"/>
            </c:ext>
          </c:extLst>
        </c:ser>
        <c:ser>
          <c:idx val="1"/>
          <c:order val="1"/>
          <c:tx>
            <c:strRef>
              <c:f>'NLD 10'!$G$80</c:f>
              <c:strCache>
                <c:ptCount val="1"/>
                <c:pt idx="0">
                  <c:v>Gen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'NLD 10'!$H$78:$AO$78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10'!$H$80:$AO$80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25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5E-4B87-BA83-F462AD862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859472"/>
        <c:axId val="1311857072"/>
      </c:barChart>
      <c:catAx>
        <c:axId val="131185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857072"/>
        <c:crosses val="autoZero"/>
        <c:auto val="1"/>
        <c:lblAlgn val="ctr"/>
        <c:lblOffset val="100"/>
        <c:noMultiLvlLbl val="0"/>
      </c:catAx>
      <c:valAx>
        <c:axId val="131185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Liters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85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KAA-</a:t>
            </a:r>
            <a:r>
              <a:rPr lang="en-ZA" baseline="0"/>
              <a:t> WEEKLY REPORT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'NLD 10'!$G$113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'NLD 10'!$H$112:$AO$112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10'!$H$113:$AO$113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28</c:v>
                </c:pt>
                <c:pt idx="29">
                  <c:v>0</c:v>
                </c:pt>
                <c:pt idx="30">
                  <c:v>50</c:v>
                </c:pt>
                <c:pt idx="31">
                  <c:v>32</c:v>
                </c:pt>
                <c:pt idx="32">
                  <c:v>0</c:v>
                </c:pt>
                <c:pt idx="3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5-4380-8814-9C656A8E2D1D}"/>
            </c:ext>
          </c:extLst>
        </c:ser>
        <c:ser>
          <c:idx val="1"/>
          <c:order val="1"/>
          <c:tx>
            <c:strRef>
              <c:f>'NLD 10'!$G$114</c:f>
              <c:strCache>
                <c:ptCount val="1"/>
                <c:pt idx="0">
                  <c:v>Gen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'NLD 10'!$H$112:$AO$112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10'!$H$114:$AO$114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35</c:v>
                </c:pt>
                <c:pt idx="29">
                  <c:v>0</c:v>
                </c:pt>
                <c:pt idx="30">
                  <c:v>0</c:v>
                </c:pt>
                <c:pt idx="31">
                  <c:v>35</c:v>
                </c:pt>
                <c:pt idx="32">
                  <c:v>0</c:v>
                </c:pt>
                <c:pt idx="3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5-4380-8814-9C656A8E2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9293376"/>
        <c:axId val="1749289536"/>
      </c:barChart>
      <c:catAx>
        <c:axId val="1749293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289536"/>
        <c:crosses val="autoZero"/>
        <c:auto val="1"/>
        <c:lblAlgn val="ctr"/>
        <c:lblOffset val="100"/>
        <c:noMultiLvlLbl val="0"/>
      </c:catAx>
      <c:valAx>
        <c:axId val="174928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Liters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29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ESP WEEKLY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'NLD 10'!$G$147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'NLD 10'!$H$146:$AO$146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10'!$H$147:$AO$147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15</c:v>
                </c:pt>
                <c:pt idx="23">
                  <c:v>130</c:v>
                </c:pt>
                <c:pt idx="25">
                  <c:v>47</c:v>
                </c:pt>
                <c:pt idx="26">
                  <c:v>10</c:v>
                </c:pt>
                <c:pt idx="27">
                  <c:v>40</c:v>
                </c:pt>
                <c:pt idx="28">
                  <c:v>10</c:v>
                </c:pt>
                <c:pt idx="29">
                  <c:v>135</c:v>
                </c:pt>
                <c:pt idx="30">
                  <c:v>15</c:v>
                </c:pt>
                <c:pt idx="31">
                  <c:v>76</c:v>
                </c:pt>
                <c:pt idx="32">
                  <c:v>0</c:v>
                </c:pt>
                <c:pt idx="3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7-45E5-9884-83E662E40018}"/>
            </c:ext>
          </c:extLst>
        </c:ser>
        <c:ser>
          <c:idx val="1"/>
          <c:order val="1"/>
          <c:tx>
            <c:strRef>
              <c:f>'NLD 10'!$G$148</c:f>
              <c:strCache>
                <c:ptCount val="1"/>
                <c:pt idx="0">
                  <c:v>Gen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'NLD 10'!$H$146:$AO$146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10'!$H$148:$AO$148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135</c:v>
                </c:pt>
                <c:pt idx="23">
                  <c:v>6</c:v>
                </c:pt>
                <c:pt idx="24">
                  <c:v>0</c:v>
                </c:pt>
                <c:pt idx="25">
                  <c:v>125</c:v>
                </c:pt>
                <c:pt idx="26">
                  <c:v>40</c:v>
                </c:pt>
                <c:pt idx="27">
                  <c:v>28</c:v>
                </c:pt>
                <c:pt idx="28">
                  <c:v>138</c:v>
                </c:pt>
                <c:pt idx="29">
                  <c:v>15</c:v>
                </c:pt>
                <c:pt idx="30">
                  <c:v>25</c:v>
                </c:pt>
                <c:pt idx="31">
                  <c:v>76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7-45E5-9884-83E662E40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990928"/>
        <c:axId val="1745990448"/>
      </c:barChart>
      <c:catAx>
        <c:axId val="1745990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990448"/>
        <c:crosses val="autoZero"/>
        <c:auto val="1"/>
        <c:lblAlgn val="ctr"/>
        <c:lblOffset val="100"/>
        <c:noMultiLvlLbl val="0"/>
      </c:catAx>
      <c:valAx>
        <c:axId val="174599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LITERS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99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GLE</a:t>
            </a:r>
            <a:r>
              <a:rPr lang="en-ZA" baseline="0"/>
              <a:t> -Weekly Fuel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'NLD 10'!$G$181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'NLD 10'!$H$180:$AO$180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10'!$H$181:$AO$181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15</c:v>
                </c:pt>
                <c:pt idx="31">
                  <c:v>110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4-4E7F-9532-FA53F3D865F5}"/>
            </c:ext>
          </c:extLst>
        </c:ser>
        <c:ser>
          <c:idx val="1"/>
          <c:order val="1"/>
          <c:tx>
            <c:strRef>
              <c:f>'NLD 10'!$G$182</c:f>
              <c:strCache>
                <c:ptCount val="1"/>
                <c:pt idx="0">
                  <c:v>Gen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'NLD 10'!$H$180:$AO$180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10'!$H$182:$AO$182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10</c:v>
                </c:pt>
                <c:pt idx="31">
                  <c:v>15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4-4E7F-9532-FA53F3D86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576848"/>
        <c:axId val="1212565328"/>
      </c:barChart>
      <c:catAx>
        <c:axId val="121257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565328"/>
        <c:crosses val="autoZero"/>
        <c:auto val="1"/>
        <c:lblAlgn val="ctr"/>
        <c:lblOffset val="100"/>
        <c:noMultiLvlLbl val="0"/>
      </c:catAx>
      <c:valAx>
        <c:axId val="12125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57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 Weekly Fuel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'NLD 10'!$G$216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'NLD 10'!$H$215:$AO$215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10'!$H$216:$AO$216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7</c:v>
                </c:pt>
                <c:pt idx="24">
                  <c:v>10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C-498C-97B8-0DFD56262592}"/>
            </c:ext>
          </c:extLst>
        </c:ser>
        <c:ser>
          <c:idx val="1"/>
          <c:order val="1"/>
          <c:tx>
            <c:strRef>
              <c:f>'NLD 10'!$G$217</c:f>
              <c:strCache>
                <c:ptCount val="1"/>
                <c:pt idx="0">
                  <c:v>Gen 2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'NLD 10'!$H$215:$AO$215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10'!$H$217:$AO$217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18</c:v>
                </c:pt>
                <c:pt idx="24">
                  <c:v>3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AC-498C-97B8-0DFD56262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383560"/>
        <c:axId val="2119389704"/>
      </c:barChart>
      <c:catAx>
        <c:axId val="2119383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389704"/>
        <c:crosses val="autoZero"/>
        <c:auto val="1"/>
        <c:lblAlgn val="ctr"/>
        <c:lblOffset val="100"/>
        <c:noMultiLvlLbl val="0"/>
      </c:catAx>
      <c:valAx>
        <c:axId val="211938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383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Harrismith weekly fuel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'NLD 1'!$F$9:$AM$9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49</c:v>
                </c:pt>
                <c:pt idx="30">
                  <c:v>Week 50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1'!$F$10:$AM$10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25</c:v>
                </c:pt>
                <c:pt idx="21">
                  <c:v>0</c:v>
                </c:pt>
                <c:pt idx="22">
                  <c:v>7</c:v>
                </c:pt>
                <c:pt idx="23">
                  <c:v>0</c:v>
                </c:pt>
                <c:pt idx="24">
                  <c:v>30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22FA1487-BF77-4C13-855D-CA032BE92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53094663"/>
        <c:axId val="953101319"/>
      </c:barChart>
      <c:catAx>
        <c:axId val="953094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101319"/>
        <c:crosses val="autoZero"/>
        <c:auto val="1"/>
        <c:lblAlgn val="ctr"/>
        <c:lblOffset val="100"/>
        <c:noMultiLvlLbl val="0"/>
      </c:catAx>
      <c:valAx>
        <c:axId val="953101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94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ESTCOURT WEEKLY FUEL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'NLD 1'!$E$45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'NLD 1'!$F$44:$AL$44</c:f>
              <c:strCache>
                <c:ptCount val="33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49</c:v>
                </c:pt>
                <c:pt idx="30">
                  <c:v>Week 50</c:v>
                </c:pt>
                <c:pt idx="31">
                  <c:v>Week 51</c:v>
                </c:pt>
                <c:pt idx="32">
                  <c:v>Week 52</c:v>
                </c:pt>
              </c:strCache>
            </c:strRef>
          </c:cat>
          <c:val>
            <c:numRef>
              <c:f>'NLD 1'!$F$45:$AL$45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E-4912-B9B6-31703DE5D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247432"/>
        <c:axId val="2078257672"/>
      </c:barChart>
      <c:catAx>
        <c:axId val="2078247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257672"/>
        <c:crosses val="autoZero"/>
        <c:auto val="1"/>
        <c:lblAlgn val="ctr"/>
        <c:lblOffset val="100"/>
        <c:noMultiLvlLbl val="0"/>
      </c:catAx>
      <c:valAx>
        <c:axId val="2078257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24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Heidelburg weekly fuel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'NLD 1'!$E$80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'NLD 1'!$F$79:$AM$79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49</c:v>
                </c:pt>
                <c:pt idx="30">
                  <c:v>Week 50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'NLD 1'!$F$80:$AM$80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2-4BF9-B3D8-EED16475D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4444680"/>
        <c:axId val="2124446728"/>
      </c:barChart>
      <c:catAx>
        <c:axId val="2124444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446728"/>
        <c:crosses val="autoZero"/>
        <c:auto val="1"/>
        <c:lblAlgn val="ctr"/>
        <c:lblOffset val="100"/>
        <c:noMultiLvlLbl val="0"/>
      </c:catAx>
      <c:valAx>
        <c:axId val="212444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44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Kimberly weekly fuel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'NLD 2'!$G$11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'NLD 2'!$H$10:$AN$10</c:f>
              <c:strCache>
                <c:ptCount val="33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49</c:v>
                </c:pt>
                <c:pt idx="30">
                  <c:v>Week 50</c:v>
                </c:pt>
                <c:pt idx="31">
                  <c:v>Week 51</c:v>
                </c:pt>
                <c:pt idx="32">
                  <c:v>Week 52</c:v>
                </c:pt>
              </c:strCache>
            </c:strRef>
          </c:cat>
          <c:val>
            <c:numRef>
              <c:f>'NLD 2'!$H$11:$AN$11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0-4893-B616-066C52B41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723207"/>
        <c:axId val="1553921031"/>
      </c:barChart>
      <c:catAx>
        <c:axId val="1828723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921031"/>
        <c:crosses val="autoZero"/>
        <c:auto val="1"/>
        <c:lblAlgn val="ctr"/>
        <c:lblOffset val="100"/>
        <c:noMultiLvlLbl val="0"/>
      </c:catAx>
      <c:valAx>
        <c:axId val="1553921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723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Klerksdorp weekly fuel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'NLD 2'!$G$46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'NLD 2'!$H$45:$AN$45</c:f>
              <c:strCache>
                <c:ptCount val="33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49</c:v>
                </c:pt>
                <c:pt idx="30">
                  <c:v>Week 50</c:v>
                </c:pt>
                <c:pt idx="31">
                  <c:v>Week 51</c:v>
                </c:pt>
                <c:pt idx="32">
                  <c:v>Week 52</c:v>
                </c:pt>
              </c:strCache>
            </c:strRef>
          </c:cat>
          <c:val>
            <c:numRef>
              <c:f>'NLD 2'!$H$46:$AN$46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121</c:v>
                </c:pt>
                <c:pt idx="11">
                  <c:v>20</c:v>
                </c:pt>
                <c:pt idx="12" formatCode="#,##0">
                  <c:v>77</c:v>
                </c:pt>
                <c:pt idx="13">
                  <c:v>52</c:v>
                </c:pt>
                <c:pt idx="14">
                  <c:v>45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20</c:v>
                </c:pt>
                <c:pt idx="28">
                  <c:v>70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A-493B-AF34-8097AA73B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1398791"/>
        <c:axId val="1721405447"/>
      </c:barChart>
      <c:catAx>
        <c:axId val="1721398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405447"/>
        <c:crosses val="autoZero"/>
        <c:auto val="1"/>
        <c:lblAlgn val="ctr"/>
        <c:lblOffset val="100"/>
        <c:noMultiLvlLbl val="0"/>
      </c:catAx>
      <c:valAx>
        <c:axId val="1721405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398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Potchefstroom weekly fuel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'NLD 2'!$G$81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'NLD 2'!$H$80:$AN$80</c:f>
              <c:strCache>
                <c:ptCount val="33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49</c:v>
                </c:pt>
                <c:pt idx="30">
                  <c:v>Week 50</c:v>
                </c:pt>
                <c:pt idx="31">
                  <c:v>Week 51</c:v>
                </c:pt>
                <c:pt idx="32">
                  <c:v>Week 52</c:v>
                </c:pt>
              </c:strCache>
            </c:strRef>
          </c:cat>
          <c:val>
            <c:numRef>
              <c:f>'NLD 2'!$H$81:$AN$81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D-4558-9895-B29B8F7BD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6708103"/>
        <c:axId val="1456714247"/>
      </c:barChart>
      <c:catAx>
        <c:axId val="1456708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714247"/>
        <c:crosses val="autoZero"/>
        <c:auto val="1"/>
        <c:lblAlgn val="ctr"/>
        <c:lblOffset val="100"/>
        <c:noMultiLvlLbl val="0"/>
      </c:catAx>
      <c:valAx>
        <c:axId val="1456714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708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Yzerfontein fuel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Yzerfontein!$F$11</c:f>
              <c:strCache>
                <c:ptCount val="1"/>
                <c:pt idx="0">
                  <c:v>Gen 1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Yzerfontein!$G$10:$AN$10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Yzerfontein!$G$11:$AN$11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2-4BD0-83EB-B9E5D8D1FE3A}"/>
            </c:ext>
          </c:extLst>
        </c:ser>
        <c:ser>
          <c:idx val="1"/>
          <c:order val="1"/>
          <c:tx>
            <c:strRef>
              <c:f>Yzerfontein!$F$12</c:f>
              <c:strCache>
                <c:ptCount val="1"/>
                <c:pt idx="0">
                  <c:v>Gen 2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Yzerfontein!$G$10:$AN$10</c:f>
              <c:strCache>
                <c:ptCount val="34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  <c:pt idx="18">
                  <c:v>Week 37</c:v>
                </c:pt>
                <c:pt idx="19">
                  <c:v>Week 38</c:v>
                </c:pt>
                <c:pt idx="20">
                  <c:v>Week 39</c:v>
                </c:pt>
                <c:pt idx="21">
                  <c:v>Week 40</c:v>
                </c:pt>
                <c:pt idx="22">
                  <c:v>Week 41</c:v>
                </c:pt>
                <c:pt idx="23">
                  <c:v>Week 42</c:v>
                </c:pt>
                <c:pt idx="24">
                  <c:v>Week 43</c:v>
                </c:pt>
                <c:pt idx="25">
                  <c:v>Week 44</c:v>
                </c:pt>
                <c:pt idx="26">
                  <c:v>Week 45</c:v>
                </c:pt>
                <c:pt idx="27">
                  <c:v>Week 46</c:v>
                </c:pt>
                <c:pt idx="28">
                  <c:v>Week 47</c:v>
                </c:pt>
                <c:pt idx="29">
                  <c:v>Week 48</c:v>
                </c:pt>
                <c:pt idx="30">
                  <c:v>Week 49</c:v>
                </c:pt>
                <c:pt idx="31">
                  <c:v>Week 50</c:v>
                </c:pt>
                <c:pt idx="32">
                  <c:v>Week 51</c:v>
                </c:pt>
                <c:pt idx="33">
                  <c:v>Week 52</c:v>
                </c:pt>
              </c:strCache>
            </c:strRef>
          </c:cat>
          <c:val>
            <c:numRef>
              <c:f>Yzerfontein!$G$12:$AN$12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32-4BD0-83EB-B9E5D8D1F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045128"/>
        <c:axId val="2140159496"/>
      </c:barChart>
      <c:catAx>
        <c:axId val="2127045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159496"/>
        <c:crosses val="autoZero"/>
        <c:auto val="1"/>
        <c:lblAlgn val="ctr"/>
        <c:lblOffset val="100"/>
        <c:noMultiLvlLbl val="0"/>
      </c:catAx>
      <c:valAx>
        <c:axId val="214015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45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63500</xdr:colOff>
      <xdr:row>12</xdr:row>
      <xdr:rowOff>57150</xdr:rowOff>
    </xdr:from>
    <xdr:to>
      <xdr:col>23</xdr:col>
      <xdr:colOff>50800</xdr:colOff>
      <xdr:row>33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61FB9C-4C27-5028-4A07-EAD187C1D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73025</xdr:colOff>
      <xdr:row>148</xdr:row>
      <xdr:rowOff>31750</xdr:rowOff>
    </xdr:from>
    <xdr:to>
      <xdr:col>23</xdr:col>
      <xdr:colOff>330200</xdr:colOff>
      <xdr:row>173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0B3D27-D039-8431-33C5-ABCE9983309D}"/>
            </a:ext>
            <a:ext uri="{147F2762-F138-4A5C-976F-8EAC2B608ADB}">
              <a16:predDERef xmlns:a16="http://schemas.microsoft.com/office/drawing/2014/main" pred="{0D61FB9C-4C27-5028-4A07-EAD187C1D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254000</xdr:colOff>
      <xdr:row>115</xdr:row>
      <xdr:rowOff>76200</xdr:rowOff>
    </xdr:from>
    <xdr:to>
      <xdr:col>24</xdr:col>
      <xdr:colOff>647700</xdr:colOff>
      <xdr:row>137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561FD6-588E-C5B6-3175-CE478B63249D}"/>
            </a:ext>
            <a:ext uri="{147F2762-F138-4A5C-976F-8EAC2B608ADB}">
              <a16:predDERef xmlns:a16="http://schemas.microsoft.com/office/drawing/2014/main" pred="{640B3D27-D039-8431-33C5-ABCE99833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81</xdr:row>
      <xdr:rowOff>190500</xdr:rowOff>
    </xdr:from>
    <xdr:to>
      <xdr:col>27</xdr:col>
      <xdr:colOff>914400</xdr:colOff>
      <xdr:row>101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1B6823-912D-486B-2287-7401536890A5}"/>
            </a:ext>
            <a:ext uri="{147F2762-F138-4A5C-976F-8EAC2B608ADB}">
              <a16:predDERef xmlns:a16="http://schemas.microsoft.com/office/drawing/2014/main" pred="{19561FD6-588E-C5B6-3175-CE478B632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19050</xdr:colOff>
      <xdr:row>179</xdr:row>
      <xdr:rowOff>66675</xdr:rowOff>
    </xdr:from>
    <xdr:to>
      <xdr:col>4</xdr:col>
      <xdr:colOff>742950</xdr:colOff>
      <xdr:row>179</xdr:row>
      <xdr:rowOff>514350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52C3F1-C9B6-19C0-91DB-82971A3432BD}"/>
            </a:ext>
            <a:ext uri="{147F2762-F138-4A5C-976F-8EAC2B608ADB}">
              <a16:predDERef xmlns:a16="http://schemas.microsoft.com/office/drawing/2014/main" pred="{EF1B6823-912D-486B-2287-740153689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1425" y="37328475"/>
          <a:ext cx="723900" cy="447675"/>
        </a:xfrm>
        <a:prstGeom prst="rect">
          <a:avLst/>
        </a:prstGeom>
      </xdr:spPr>
    </xdr:pic>
    <xdr:clientData/>
  </xdr:twoCellAnchor>
  <xdr:twoCellAnchor>
    <xdr:from>
      <xdr:col>7</xdr:col>
      <xdr:colOff>714375</xdr:colOff>
      <xdr:row>47</xdr:row>
      <xdr:rowOff>142875</xdr:rowOff>
    </xdr:from>
    <xdr:to>
      <xdr:col>21</xdr:col>
      <xdr:colOff>666750</xdr:colOff>
      <xdr:row>68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673387C-084C-D004-9D74-0EB69F2EB44A}"/>
            </a:ext>
            <a:ext uri="{147F2762-F138-4A5C-976F-8EAC2B608ADB}">
              <a16:predDERef xmlns:a16="http://schemas.microsoft.com/office/drawing/2014/main" pred="{CD52C3F1-C9B6-19C0-91DB-82971A343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63500</xdr:colOff>
      <xdr:row>13</xdr:row>
      <xdr:rowOff>50800</xdr:rowOff>
    </xdr:from>
    <xdr:to>
      <xdr:col>23</xdr:col>
      <xdr:colOff>139700</xdr:colOff>
      <xdr:row>33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4DC654-7ED9-4532-95BF-B65C59B1F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46</xdr:row>
      <xdr:rowOff>25400</xdr:rowOff>
    </xdr:from>
    <xdr:to>
      <xdr:col>23</xdr:col>
      <xdr:colOff>114300</xdr:colOff>
      <xdr:row>66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D52C9EE-1B39-5DCD-5A30-082208A12C3A}"/>
            </a:ext>
            <a:ext uri="{147F2762-F138-4A5C-976F-8EAC2B608ADB}">
              <a16:predDERef xmlns:a16="http://schemas.microsoft.com/office/drawing/2014/main" pred="{DE4DC654-7ED9-4532-95BF-B65C59B1F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88900</xdr:colOff>
      <xdr:row>79</xdr:row>
      <xdr:rowOff>222250</xdr:rowOff>
    </xdr:from>
    <xdr:to>
      <xdr:col>22</xdr:col>
      <xdr:colOff>838200</xdr:colOff>
      <xdr:row>104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95B0DE1-02FF-D7B8-86FF-2E08771068FD}"/>
            </a:ext>
            <a:ext uri="{147F2762-F138-4A5C-976F-8EAC2B608ADB}">
              <a16:predDERef xmlns:a16="http://schemas.microsoft.com/office/drawing/2014/main" pred="{DD52C9EE-1B39-5DCD-5A30-082208A12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114</xdr:row>
      <xdr:rowOff>123825</xdr:rowOff>
    </xdr:from>
    <xdr:to>
      <xdr:col>23</xdr:col>
      <xdr:colOff>352425</xdr:colOff>
      <xdr:row>135</xdr:row>
      <xdr:rowOff>28575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A8F80C3-E907-0B90-D74A-C6FE1B1E23A8}"/>
            </a:ext>
            <a:ext uri="{147F2762-F138-4A5C-976F-8EAC2B608ADB}">
              <a16:predDERef xmlns:a16="http://schemas.microsoft.com/office/drawing/2014/main" pred="{F95B0DE1-02FF-D7B8-86FF-2E0877106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812800</xdr:colOff>
      <xdr:row>149</xdr:row>
      <xdr:rowOff>146050</xdr:rowOff>
    </xdr:from>
    <xdr:to>
      <xdr:col>23</xdr:col>
      <xdr:colOff>25400</xdr:colOff>
      <xdr:row>167</xdr:row>
      <xdr:rowOff>114300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CC137E4-CF0E-CBAF-8C27-9D1A4971E6D0}"/>
            </a:ext>
            <a:ext uri="{147F2762-F138-4A5C-976F-8EAC2B608ADB}">
              <a16:predDERef xmlns:a16="http://schemas.microsoft.com/office/drawing/2014/main" pred="{2A8F80C3-E907-0B90-D74A-C6FE1B1E2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12700</xdr:colOff>
      <xdr:row>183</xdr:row>
      <xdr:rowOff>19050</xdr:rowOff>
    </xdr:from>
    <xdr:to>
      <xdr:col>23</xdr:col>
      <xdr:colOff>165100</xdr:colOff>
      <xdr:row>203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A3F6B30-D600-38A2-F8D1-7CFE58ED5C75}"/>
            </a:ext>
            <a:ext uri="{147F2762-F138-4A5C-976F-8EAC2B608ADB}">
              <a16:predDERef xmlns:a16="http://schemas.microsoft.com/office/drawing/2014/main" pred="{ECC137E4-CF0E-CBAF-8C27-9D1A4971E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752475</xdr:colOff>
      <xdr:row>219</xdr:row>
      <xdr:rowOff>133350</xdr:rowOff>
    </xdr:from>
    <xdr:to>
      <xdr:col>16</xdr:col>
      <xdr:colOff>352425</xdr:colOff>
      <xdr:row>232</xdr:row>
      <xdr:rowOff>85725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FB5BB0E2-44C1-3BD3-F67B-A59EC5357F40}"/>
            </a:ext>
            <a:ext uri="{147F2762-F138-4A5C-976F-8EAC2B608ADB}">
              <a16:predDERef xmlns:a16="http://schemas.microsoft.com/office/drawing/2014/main" pred="{4A3F6B30-D600-38A2-F8D1-7CFE58ED5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</xdr:col>
      <xdr:colOff>66675</xdr:colOff>
      <xdr:row>249</xdr:row>
      <xdr:rowOff>28575</xdr:rowOff>
    </xdr:from>
    <xdr:to>
      <xdr:col>3</xdr:col>
      <xdr:colOff>638175</xdr:colOff>
      <xdr:row>249</xdr:row>
      <xdr:rowOff>371475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BE7766E-A309-4972-89DC-EE8A9AE862FE}"/>
            </a:ext>
            <a:ext uri="{147F2762-F138-4A5C-976F-8EAC2B608ADB}">
              <a16:predDERef xmlns:a16="http://schemas.microsoft.com/office/drawing/2014/main" pred="{FB5BB0E2-44C1-3BD3-F67B-A59EC5357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90850" y="51739800"/>
          <a:ext cx="571500" cy="342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11</xdr:row>
      <xdr:rowOff>28575</xdr:rowOff>
    </xdr:from>
    <xdr:to>
      <xdr:col>22</xdr:col>
      <xdr:colOff>400050</xdr:colOff>
      <xdr:row>28</xdr:row>
      <xdr:rowOff>38100</xdr:rowOff>
    </xdr:to>
    <xdr:graphicFrame macro="">
      <xdr:nvGraphicFramePr>
        <xdr:cNvPr id="6" name="Chart 5" descr="Chart type: Clustered Column. 'Field2'&#10;&#10;Description automatically generated">
          <a:extLst>
            <a:ext uri="{FF2B5EF4-FFF2-40B4-BE49-F238E27FC236}">
              <a16:creationId xmlns:a16="http://schemas.microsoft.com/office/drawing/2014/main" id="{A3A9DF86-A50E-1711-2050-BEC30C6979F7}"/>
            </a:ext>
            <a:ext uri="{147F2762-F138-4A5C-976F-8EAC2B608ADB}">
              <a16:predDERef xmlns:a16="http://schemas.microsoft.com/office/drawing/2014/main" pred="{4C256750-C7EC-4449-8741-DDCD697A8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266700</xdr:colOff>
      <xdr:row>47</xdr:row>
      <xdr:rowOff>171450</xdr:rowOff>
    </xdr:from>
    <xdr:to>
      <xdr:col>23</xdr:col>
      <xdr:colOff>561975</xdr:colOff>
      <xdr:row>64</xdr:row>
      <xdr:rowOff>28575</xdr:rowOff>
    </xdr:to>
    <xdr:graphicFrame macro="">
      <xdr:nvGraphicFramePr>
        <xdr:cNvPr id="12" name="Chart 9">
          <a:extLst>
            <a:ext uri="{FF2B5EF4-FFF2-40B4-BE49-F238E27FC236}">
              <a16:creationId xmlns:a16="http://schemas.microsoft.com/office/drawing/2014/main" id="{CC78C762-DABA-307A-20DE-E49B8BEE9C8B}"/>
            </a:ext>
            <a:ext uri="{147F2762-F138-4A5C-976F-8EAC2B608ADB}">
              <a16:predDERef xmlns:a16="http://schemas.microsoft.com/office/drawing/2014/main" pred="{A3A9DF86-A50E-1711-2050-BEC30C697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523875</xdr:colOff>
      <xdr:row>88</xdr:row>
      <xdr:rowOff>142875</xdr:rowOff>
    </xdr:from>
    <xdr:to>
      <xdr:col>17</xdr:col>
      <xdr:colOff>152400</xdr:colOff>
      <xdr:row>102</xdr:row>
      <xdr:rowOff>104775</xdr:rowOff>
    </xdr:to>
    <xdr:graphicFrame macro="">
      <xdr:nvGraphicFramePr>
        <xdr:cNvPr id="18" name="Chart 10">
          <a:extLst>
            <a:ext uri="{FF2B5EF4-FFF2-40B4-BE49-F238E27FC236}">
              <a16:creationId xmlns:a16="http://schemas.microsoft.com/office/drawing/2014/main" id="{17022650-3622-EFAA-0FA9-C92CEF9A44E8}"/>
            </a:ext>
            <a:ext uri="{147F2762-F138-4A5C-976F-8EAC2B608ADB}">
              <a16:predDERef xmlns:a16="http://schemas.microsoft.com/office/drawing/2014/main" pred="{CC78C762-DABA-307A-20DE-E49B8BEE9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47625</xdr:colOff>
      <xdr:row>115</xdr:row>
      <xdr:rowOff>28575</xdr:rowOff>
    </xdr:from>
    <xdr:to>
      <xdr:col>2</xdr:col>
      <xdr:colOff>581025</xdr:colOff>
      <xdr:row>115</xdr:row>
      <xdr:rowOff>352425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F5CD6F2-7B1C-4EB1-9EC6-DD5F46C8C83C}"/>
            </a:ext>
            <a:ext uri="{147F2762-F138-4A5C-976F-8EAC2B608ADB}">
              <a16:predDERef xmlns:a16="http://schemas.microsoft.com/office/drawing/2014/main" pred="{17022650-3622-EFAA-0FA9-C92CEF9A4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62225" y="23888700"/>
          <a:ext cx="53340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19050</xdr:rowOff>
    </xdr:from>
    <xdr:to>
      <xdr:col>21</xdr:col>
      <xdr:colOff>638175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954184-01B7-02A1-94F8-E0F925DA17EE}"/>
            </a:ext>
            <a:ext uri="{147F2762-F138-4A5C-976F-8EAC2B608ADB}">
              <a16:predDERef xmlns:a16="http://schemas.microsoft.com/office/drawing/2014/main" pred="{1698C6D5-6E30-4336-B975-E09B8D9A7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771525</xdr:colOff>
      <xdr:row>49</xdr:row>
      <xdr:rowOff>133350</xdr:rowOff>
    </xdr:from>
    <xdr:to>
      <xdr:col>21</xdr:col>
      <xdr:colOff>638175</xdr:colOff>
      <xdr:row>67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962671-6A70-0F0A-7F36-74F8B37A41A3}"/>
            </a:ext>
            <a:ext uri="{147F2762-F138-4A5C-976F-8EAC2B608ADB}">
              <a16:predDERef xmlns:a16="http://schemas.microsoft.com/office/drawing/2014/main" pred="{0C954184-01B7-02A1-94F8-E0F925DA1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47625</xdr:colOff>
      <xdr:row>82</xdr:row>
      <xdr:rowOff>85725</xdr:rowOff>
    </xdr:from>
    <xdr:to>
      <xdr:col>22</xdr:col>
      <xdr:colOff>628650</xdr:colOff>
      <xdr:row>96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4CC4FE-4429-EC97-6DEB-CC0A7E5B95E8}"/>
            </a:ext>
            <a:ext uri="{147F2762-F138-4A5C-976F-8EAC2B608ADB}">
              <a16:predDERef xmlns:a16="http://schemas.microsoft.com/office/drawing/2014/main" pred="{59962671-6A70-0F0A-7F36-74F8B37A4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47625</xdr:colOff>
      <xdr:row>122</xdr:row>
      <xdr:rowOff>28575</xdr:rowOff>
    </xdr:from>
    <xdr:to>
      <xdr:col>2</xdr:col>
      <xdr:colOff>485775</xdr:colOff>
      <xdr:row>122</xdr:row>
      <xdr:rowOff>285750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4A1E00E1-76D6-4A8D-AABB-A71411863C24}"/>
            </a:ext>
            <a:ext uri="{147F2762-F138-4A5C-976F-8EAC2B608ADB}">
              <a16:predDERef xmlns:a16="http://schemas.microsoft.com/office/drawing/2014/main" pred="{0F4CC4FE-4429-EC97-6DEB-CC0A7E5B9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6825" y="25146000"/>
          <a:ext cx="438150" cy="2571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14</xdr:row>
      <xdr:rowOff>161925</xdr:rowOff>
    </xdr:from>
    <xdr:to>
      <xdr:col>27</xdr:col>
      <xdr:colOff>19050</xdr:colOff>
      <xdr:row>33</xdr:row>
      <xdr:rowOff>152400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10E9A34-CEF5-2836-FED0-7C574F7F0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47625</xdr:colOff>
      <xdr:row>42</xdr:row>
      <xdr:rowOff>28575</xdr:rowOff>
    </xdr:from>
    <xdr:to>
      <xdr:col>3</xdr:col>
      <xdr:colOff>581025</xdr:colOff>
      <xdr:row>42</xdr:row>
      <xdr:rowOff>352425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AA8AC99C-074B-478A-90A4-2C33CF1C7C2E}"/>
            </a:ext>
            <a:ext uri="{147F2762-F138-4A5C-976F-8EAC2B608ADB}">
              <a16:predDERef xmlns:a16="http://schemas.microsoft.com/office/drawing/2014/main" pred="{110E9A34-CEF5-2836-FED0-7C574F7F0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2225" y="23888700"/>
          <a:ext cx="533400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8B2B-6C9A-46B9-8ED0-F9ECBF40E751}">
  <dimension ref="B2:AR182"/>
  <sheetViews>
    <sheetView tabSelected="1" topLeftCell="A36" zoomScale="50" zoomScaleNormal="50" workbookViewId="0">
      <selection activeCell="F102" sqref="F102"/>
    </sheetView>
  </sheetViews>
  <sheetFormatPr defaultRowHeight="14.4" x14ac:dyDescent="0.3"/>
  <cols>
    <col min="3" max="3" width="25.5546875" bestFit="1" customWidth="1"/>
    <col min="4" max="4" width="12.5546875" customWidth="1"/>
    <col min="5" max="6" width="11.88671875" customWidth="1"/>
    <col min="8" max="8" width="14.109375" customWidth="1"/>
    <col min="9" max="9" width="12.44140625" customWidth="1"/>
    <col min="10" max="11" width="12.5546875" customWidth="1"/>
    <col min="12" max="12" width="11.109375" customWidth="1"/>
    <col min="13" max="13" width="12" customWidth="1"/>
    <col min="14" max="14" width="14.5546875" customWidth="1"/>
    <col min="15" max="15" width="12.5546875" customWidth="1"/>
    <col min="16" max="16" width="13.109375" customWidth="1"/>
    <col min="17" max="17" width="12.88671875" customWidth="1"/>
    <col min="18" max="18" width="15.6640625" customWidth="1"/>
    <col min="19" max="19" width="12.5546875" customWidth="1"/>
    <col min="20" max="20" width="11.88671875" customWidth="1"/>
    <col min="21" max="21" width="11.109375" customWidth="1"/>
    <col min="22" max="22" width="11.88671875" customWidth="1"/>
    <col min="23" max="23" width="12.88671875" customWidth="1"/>
    <col min="24" max="24" width="16.109375" customWidth="1"/>
    <col min="25" max="25" width="13.33203125" customWidth="1"/>
    <col min="26" max="26" width="16" customWidth="1"/>
    <col min="27" max="27" width="15.5546875" customWidth="1"/>
    <col min="28" max="28" width="15.109375" customWidth="1"/>
    <col min="29" max="29" width="16" customWidth="1"/>
    <col min="30" max="30" width="19.109375" customWidth="1"/>
    <col min="31" max="31" width="14.44140625" customWidth="1"/>
    <col min="32" max="32" width="15.88671875" customWidth="1"/>
    <col min="33" max="33" width="18.109375" customWidth="1"/>
    <col min="34" max="34" width="17.33203125" customWidth="1"/>
    <col min="35" max="35" width="15.5546875" customWidth="1"/>
    <col min="36" max="36" width="16" customWidth="1"/>
    <col min="37" max="37" width="15.5546875" customWidth="1"/>
    <col min="38" max="38" width="17.5546875" customWidth="1"/>
    <col min="39" max="39" width="15.109375" customWidth="1"/>
    <col min="40" max="40" width="14.109375" customWidth="1"/>
    <col min="41" max="41" width="14.5546875" customWidth="1"/>
  </cols>
  <sheetData>
    <row r="2" spans="2:44" ht="25.8" x14ac:dyDescent="0.5">
      <c r="B2" s="64" t="s">
        <v>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</row>
    <row r="3" spans="2:44" ht="21" x14ac:dyDescent="0.4">
      <c r="B3" s="65" t="s">
        <v>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</row>
    <row r="4" spans="2:44" ht="15" thickBot="1" x14ac:dyDescent="0.35"/>
    <row r="5" spans="2:44" x14ac:dyDescent="0.3"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2:44" ht="25.8" x14ac:dyDescent="0.5">
      <c r="B6" s="16"/>
      <c r="C6" s="64" t="s">
        <v>0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</row>
    <row r="7" spans="2:44" ht="21" x14ac:dyDescent="0.4">
      <c r="B7" s="16"/>
      <c r="C7" s="65" t="s">
        <v>2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 t="s">
        <v>2</v>
      </c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</row>
    <row r="8" spans="2:44" ht="26.4" thickBot="1" x14ac:dyDescent="0.55000000000000004">
      <c r="B8" s="16"/>
      <c r="C8" s="17" t="s">
        <v>3</v>
      </c>
      <c r="D8" s="18"/>
      <c r="E8" s="18"/>
    </row>
    <row r="9" spans="2:44" ht="16.2" thickBot="1" x14ac:dyDescent="0.35">
      <c r="B9" s="16"/>
      <c r="C9" s="8" t="s">
        <v>4</v>
      </c>
      <c r="D9" s="9" t="s">
        <v>5</v>
      </c>
      <c r="E9" s="10" t="s">
        <v>6</v>
      </c>
      <c r="F9" s="1"/>
    </row>
    <row r="10" spans="2:44" ht="21" x14ac:dyDescent="0.4">
      <c r="B10" s="16"/>
      <c r="C10" s="11" t="s">
        <v>7</v>
      </c>
      <c r="D10" s="11" t="s">
        <v>8</v>
      </c>
      <c r="E10" s="11" t="s">
        <v>8</v>
      </c>
      <c r="G10" s="5" t="s">
        <v>9</v>
      </c>
      <c r="H10" s="6" t="s">
        <v>10</v>
      </c>
      <c r="I10" s="6" t="s">
        <v>11</v>
      </c>
      <c r="J10" s="6" t="s">
        <v>12</v>
      </c>
      <c r="K10" s="6" t="s">
        <v>13</v>
      </c>
      <c r="L10" s="6" t="s">
        <v>14</v>
      </c>
      <c r="M10" s="6" t="s">
        <v>15</v>
      </c>
      <c r="N10" s="6" t="s">
        <v>16</v>
      </c>
      <c r="O10" s="6" t="s">
        <v>17</v>
      </c>
      <c r="P10" s="6" t="s">
        <v>18</v>
      </c>
      <c r="Q10" s="6" t="s">
        <v>19</v>
      </c>
      <c r="R10" s="6" t="s">
        <v>20</v>
      </c>
      <c r="S10" s="6" t="s">
        <v>21</v>
      </c>
      <c r="T10" s="6" t="s">
        <v>22</v>
      </c>
      <c r="U10" s="6" t="s">
        <v>23</v>
      </c>
      <c r="V10" s="6" t="s">
        <v>24</v>
      </c>
      <c r="W10" s="28" t="s">
        <v>25</v>
      </c>
      <c r="X10" s="6" t="s">
        <v>26</v>
      </c>
      <c r="Y10" s="6" t="s">
        <v>27</v>
      </c>
      <c r="Z10" s="6" t="s">
        <v>28</v>
      </c>
      <c r="AA10" s="6" t="s">
        <v>29</v>
      </c>
      <c r="AB10" s="6" t="s">
        <v>30</v>
      </c>
      <c r="AC10" s="6" t="s">
        <v>31</v>
      </c>
      <c r="AD10" s="6" t="s">
        <v>32</v>
      </c>
      <c r="AE10" s="6" t="s">
        <v>33</v>
      </c>
      <c r="AF10" s="6" t="s">
        <v>34</v>
      </c>
      <c r="AG10" s="6" t="s">
        <v>35</v>
      </c>
      <c r="AH10" s="6" t="s">
        <v>36</v>
      </c>
      <c r="AI10" s="6" t="s">
        <v>37</v>
      </c>
      <c r="AJ10" s="6" t="s">
        <v>38</v>
      </c>
      <c r="AK10" s="6" t="s">
        <v>39</v>
      </c>
      <c r="AL10" s="6" t="s">
        <v>40</v>
      </c>
      <c r="AM10" s="6" t="s">
        <v>41</v>
      </c>
      <c r="AN10" s="6" t="s">
        <v>42</v>
      </c>
      <c r="AO10" s="6" t="s">
        <v>43</v>
      </c>
    </row>
    <row r="11" spans="2:44" ht="21" x14ac:dyDescent="0.4">
      <c r="B11" s="16"/>
      <c r="C11" s="4" t="s">
        <v>44</v>
      </c>
      <c r="D11" s="4" t="s">
        <v>45</v>
      </c>
      <c r="E11" s="4" t="s">
        <v>46</v>
      </c>
      <c r="G11" s="5" t="s">
        <v>47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34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29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</row>
    <row r="12" spans="2:44" ht="21" x14ac:dyDescent="0.4">
      <c r="B12" s="16"/>
      <c r="C12" s="4" t="s">
        <v>48</v>
      </c>
      <c r="D12" s="4">
        <v>2560.09</v>
      </c>
      <c r="E12" s="4">
        <v>2672.06</v>
      </c>
      <c r="G12" s="5" t="s">
        <v>49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20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29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</row>
    <row r="13" spans="2:44" ht="15.6" x14ac:dyDescent="0.3">
      <c r="B13" s="16"/>
      <c r="C13" s="4" t="s">
        <v>50</v>
      </c>
      <c r="D13" s="23">
        <v>45514</v>
      </c>
      <c r="E13" s="23">
        <v>45514</v>
      </c>
    </row>
    <row r="14" spans="2:44" ht="15.6" x14ac:dyDescent="0.3">
      <c r="B14" s="16"/>
      <c r="C14" s="4" t="s">
        <v>51</v>
      </c>
      <c r="D14" s="4" t="s">
        <v>52</v>
      </c>
      <c r="E14" s="21" t="s">
        <v>53</v>
      </c>
    </row>
    <row r="15" spans="2:44" ht="15.6" x14ac:dyDescent="0.3">
      <c r="B15" s="16"/>
      <c r="C15" s="4" t="s">
        <v>54</v>
      </c>
      <c r="D15" s="4" t="s">
        <v>55</v>
      </c>
      <c r="E15" s="22" t="s">
        <v>56</v>
      </c>
      <c r="F15" s="2"/>
    </row>
    <row r="16" spans="2:44" ht="15.6" x14ac:dyDescent="0.3">
      <c r="B16" s="16"/>
      <c r="C16" s="18"/>
      <c r="D16" s="18"/>
      <c r="E16" s="18"/>
      <c r="F16" s="2"/>
      <c r="X16" s="1"/>
    </row>
    <row r="17" spans="2:6" ht="15.6" x14ac:dyDescent="0.3">
      <c r="B17" s="16"/>
      <c r="C17" s="3" t="s">
        <v>57</v>
      </c>
      <c r="D17" s="3" t="s">
        <v>5</v>
      </c>
      <c r="E17" s="13" t="s">
        <v>58</v>
      </c>
      <c r="F17" s="2"/>
    </row>
    <row r="18" spans="2:6" ht="15.6" x14ac:dyDescent="0.3">
      <c r="B18" s="16"/>
      <c r="C18" s="4" t="s">
        <v>59</v>
      </c>
      <c r="D18" s="4">
        <f>SUM(H11:K11)</f>
        <v>0</v>
      </c>
      <c r="E18" s="12">
        <f>SUM(H12:K12)</f>
        <v>0</v>
      </c>
      <c r="F18" s="2"/>
    </row>
    <row r="19" spans="2:6" ht="15.6" x14ac:dyDescent="0.3">
      <c r="B19" s="16"/>
      <c r="C19" s="4" t="s">
        <v>60</v>
      </c>
      <c r="D19" s="4">
        <f>SUM(L11:O11)</f>
        <v>0</v>
      </c>
      <c r="E19" s="12">
        <f>SUM(L12:O12)</f>
        <v>0</v>
      </c>
      <c r="F19" s="2"/>
    </row>
    <row r="20" spans="2:6" ht="15.6" x14ac:dyDescent="0.3">
      <c r="B20" s="16"/>
      <c r="C20" s="4" t="s">
        <v>61</v>
      </c>
      <c r="D20" s="4">
        <f>SUM(P11:S11)</f>
        <v>34</v>
      </c>
      <c r="E20" s="12">
        <f>SUM(P12:S12)</f>
        <v>20</v>
      </c>
      <c r="F20" s="2"/>
    </row>
    <row r="21" spans="2:6" ht="15.6" x14ac:dyDescent="0.3">
      <c r="B21" s="16"/>
      <c r="C21" s="4" t="s">
        <v>62</v>
      </c>
      <c r="D21" s="4">
        <f>SUM(T11:W11)</f>
        <v>0</v>
      </c>
      <c r="E21" s="12">
        <f>SUM(T12:W12)</f>
        <v>0</v>
      </c>
      <c r="F21" s="2"/>
    </row>
    <row r="22" spans="2:6" ht="15.6" x14ac:dyDescent="0.3">
      <c r="B22" s="16"/>
      <c r="C22" s="4" t="s">
        <v>63</v>
      </c>
      <c r="D22" s="4">
        <f>SUM(Y11:AB11)</f>
        <v>0</v>
      </c>
      <c r="E22" s="4">
        <f>SUM(Y12:AB12)</f>
        <v>0</v>
      </c>
    </row>
    <row r="23" spans="2:6" ht="15.6" x14ac:dyDescent="0.3">
      <c r="B23" s="16"/>
      <c r="C23" s="4" t="s">
        <v>64</v>
      </c>
      <c r="D23" s="4">
        <f>SUM(AC11:AG11)</f>
        <v>0</v>
      </c>
      <c r="E23" s="4">
        <f>SUM(AC12:AG12)</f>
        <v>0</v>
      </c>
    </row>
    <row r="24" spans="2:6" ht="15.6" x14ac:dyDescent="0.3">
      <c r="B24" s="16"/>
      <c r="C24" s="4" t="s">
        <v>65</v>
      </c>
      <c r="D24" s="4">
        <v>0</v>
      </c>
      <c r="E24" s="4">
        <v>0</v>
      </c>
    </row>
    <row r="25" spans="2:6" ht="15.6" x14ac:dyDescent="0.3">
      <c r="B25" s="16"/>
      <c r="C25" s="4" t="s">
        <v>66</v>
      </c>
      <c r="D25" s="4">
        <v>0</v>
      </c>
      <c r="E25" s="4">
        <v>0</v>
      </c>
    </row>
    <row r="26" spans="2:6" ht="15.6" x14ac:dyDescent="0.3">
      <c r="B26" s="16"/>
      <c r="C26" s="4" t="s">
        <v>67</v>
      </c>
      <c r="D26" s="4">
        <v>0</v>
      </c>
      <c r="E26" s="4">
        <v>0</v>
      </c>
    </row>
    <row r="27" spans="2:6" ht="15.6" x14ac:dyDescent="0.3">
      <c r="B27" s="16"/>
      <c r="C27" s="4" t="s">
        <v>68</v>
      </c>
      <c r="D27" s="4">
        <v>0</v>
      </c>
      <c r="E27" s="4">
        <v>0</v>
      </c>
    </row>
    <row r="28" spans="2:6" ht="15.6" x14ac:dyDescent="0.3">
      <c r="B28" s="16"/>
      <c r="C28" s="4" t="s">
        <v>69</v>
      </c>
      <c r="D28" s="4">
        <v>0</v>
      </c>
      <c r="E28" s="4">
        <v>0</v>
      </c>
    </row>
    <row r="29" spans="2:6" ht="15.6" x14ac:dyDescent="0.3">
      <c r="B29" s="16"/>
      <c r="C29" s="4" t="s">
        <v>70</v>
      </c>
      <c r="D29" s="4">
        <v>0</v>
      </c>
      <c r="E29" s="4">
        <v>0</v>
      </c>
    </row>
    <row r="30" spans="2:6" ht="15.6" x14ac:dyDescent="0.3">
      <c r="B30" s="16"/>
      <c r="C30" s="18"/>
      <c r="D30" s="18"/>
      <c r="E30" s="18"/>
    </row>
    <row r="31" spans="2:6" x14ac:dyDescent="0.3">
      <c r="B31" s="16"/>
      <c r="F31" s="1"/>
    </row>
    <row r="32" spans="2:6" x14ac:dyDescent="0.3">
      <c r="B32" s="16"/>
    </row>
    <row r="33" spans="2:44" x14ac:dyDescent="0.3">
      <c r="B33" s="16"/>
    </row>
    <row r="34" spans="2:44" x14ac:dyDescent="0.3">
      <c r="B34" s="16"/>
    </row>
    <row r="35" spans="2:44" x14ac:dyDescent="0.3">
      <c r="B35" s="16"/>
    </row>
    <row r="36" spans="2:44" x14ac:dyDescent="0.3">
      <c r="B36" s="16"/>
    </row>
    <row r="37" spans="2:44" ht="15" thickBot="1" x14ac:dyDescent="0.35"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9" spans="2:44" ht="15" thickBot="1" x14ac:dyDescent="0.35"/>
    <row r="40" spans="2:44" x14ac:dyDescent="0.3"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2:44" ht="21" x14ac:dyDescent="0.4">
      <c r="B41" s="16"/>
      <c r="C41" s="65" t="s">
        <v>71</v>
      </c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 t="s">
        <v>71</v>
      </c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</row>
    <row r="42" spans="2:44" ht="26.4" thickBot="1" x14ac:dyDescent="0.55000000000000004">
      <c r="B42" s="16"/>
      <c r="C42" s="17" t="s">
        <v>72</v>
      </c>
      <c r="D42" s="18"/>
      <c r="E42" s="18"/>
    </row>
    <row r="43" spans="2:44" ht="16.2" thickBot="1" x14ac:dyDescent="0.35">
      <c r="B43" s="16"/>
      <c r="C43" s="8" t="s">
        <v>73</v>
      </c>
      <c r="D43" s="9" t="s">
        <v>5</v>
      </c>
      <c r="E43" s="10" t="s">
        <v>6</v>
      </c>
      <c r="F43" s="1"/>
    </row>
    <row r="44" spans="2:44" ht="21" x14ac:dyDescent="0.4">
      <c r="B44" s="16"/>
      <c r="C44" s="11" t="s">
        <v>7</v>
      </c>
      <c r="D44" s="11" t="s">
        <v>8</v>
      </c>
      <c r="E44" s="11" t="s">
        <v>8</v>
      </c>
      <c r="G44" s="5" t="s">
        <v>9</v>
      </c>
      <c r="H44" s="6" t="s">
        <v>10</v>
      </c>
      <c r="I44" s="6" t="s">
        <v>11</v>
      </c>
      <c r="J44" s="6" t="s">
        <v>12</v>
      </c>
      <c r="K44" s="6" t="s">
        <v>13</v>
      </c>
      <c r="L44" s="6" t="s">
        <v>14</v>
      </c>
      <c r="M44" s="6" t="s">
        <v>15</v>
      </c>
      <c r="N44" s="6" t="s">
        <v>16</v>
      </c>
      <c r="O44" s="6" t="s">
        <v>17</v>
      </c>
      <c r="P44" s="6" t="s">
        <v>18</v>
      </c>
      <c r="Q44" s="6" t="s">
        <v>19</v>
      </c>
      <c r="R44" s="6" t="s">
        <v>20</v>
      </c>
      <c r="S44" s="6" t="s">
        <v>21</v>
      </c>
      <c r="T44" s="6" t="s">
        <v>22</v>
      </c>
      <c r="U44" s="6" t="s">
        <v>23</v>
      </c>
      <c r="V44" s="6" t="s">
        <v>24</v>
      </c>
      <c r="W44" s="28" t="s">
        <v>25</v>
      </c>
      <c r="X44" s="6" t="s">
        <v>26</v>
      </c>
      <c r="Y44" s="6" t="s">
        <v>27</v>
      </c>
      <c r="Z44" s="6" t="s">
        <v>28</v>
      </c>
      <c r="AA44" s="6" t="s">
        <v>29</v>
      </c>
      <c r="AB44" s="6" t="s">
        <v>30</v>
      </c>
      <c r="AC44" s="6" t="s">
        <v>31</v>
      </c>
      <c r="AD44" s="6" t="s">
        <v>32</v>
      </c>
      <c r="AE44" s="6" t="s">
        <v>33</v>
      </c>
      <c r="AF44" s="6" t="s">
        <v>34</v>
      </c>
      <c r="AG44" s="6" t="s">
        <v>35</v>
      </c>
      <c r="AH44" s="6" t="s">
        <v>36</v>
      </c>
      <c r="AI44" s="6" t="s">
        <v>37</v>
      </c>
      <c r="AJ44" s="6" t="s">
        <v>38</v>
      </c>
      <c r="AK44" s="6" t="s">
        <v>39</v>
      </c>
      <c r="AL44" s="6" t="s">
        <v>40</v>
      </c>
      <c r="AM44" s="6" t="s">
        <v>41</v>
      </c>
      <c r="AN44" s="6" t="s">
        <v>42</v>
      </c>
      <c r="AO44" s="6" t="s">
        <v>43</v>
      </c>
    </row>
    <row r="45" spans="2:44" ht="21" x14ac:dyDescent="0.4">
      <c r="B45" s="16"/>
      <c r="C45" s="4" t="s">
        <v>44</v>
      </c>
      <c r="D45" s="4" t="s">
        <v>74</v>
      </c>
      <c r="E45" s="4" t="s">
        <v>75</v>
      </c>
      <c r="G45" s="5" t="s">
        <v>47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29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</row>
    <row r="46" spans="2:44" ht="21" x14ac:dyDescent="0.4">
      <c r="B46" s="16"/>
      <c r="C46" s="4" t="s">
        <v>48</v>
      </c>
      <c r="D46" s="21" t="s">
        <v>76</v>
      </c>
      <c r="E46" s="4" t="s">
        <v>77</v>
      </c>
      <c r="G46" s="5" t="s">
        <v>49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29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</row>
    <row r="47" spans="2:44" ht="15.6" x14ac:dyDescent="0.3">
      <c r="B47" s="16"/>
      <c r="C47" s="4" t="s">
        <v>50</v>
      </c>
      <c r="D47" s="23">
        <v>45476</v>
      </c>
      <c r="E47" s="23">
        <v>45476</v>
      </c>
    </row>
    <row r="48" spans="2:44" ht="15.6" x14ac:dyDescent="0.3">
      <c r="B48" s="16"/>
      <c r="C48" s="4" t="s">
        <v>51</v>
      </c>
      <c r="D48" s="4" t="s">
        <v>78</v>
      </c>
      <c r="E48" s="4" t="s">
        <v>79</v>
      </c>
    </row>
    <row r="49" spans="2:24" ht="15.6" x14ac:dyDescent="0.3">
      <c r="B49" s="16"/>
      <c r="C49" s="4" t="s">
        <v>54</v>
      </c>
      <c r="D49" s="4" t="s">
        <v>80</v>
      </c>
      <c r="E49" s="12" t="s">
        <v>81</v>
      </c>
      <c r="F49" s="2"/>
    </row>
    <row r="50" spans="2:24" ht="15.6" x14ac:dyDescent="0.3">
      <c r="B50" s="16"/>
      <c r="C50" s="18"/>
      <c r="D50" s="18"/>
      <c r="E50" s="18"/>
      <c r="F50" s="2"/>
      <c r="X50" s="1"/>
    </row>
    <row r="51" spans="2:24" ht="15.6" x14ac:dyDescent="0.3">
      <c r="B51" s="16"/>
      <c r="C51" s="3" t="s">
        <v>57</v>
      </c>
      <c r="D51" s="3" t="s">
        <v>5</v>
      </c>
      <c r="E51" s="13" t="s">
        <v>58</v>
      </c>
      <c r="F51" s="2"/>
    </row>
    <row r="52" spans="2:24" ht="15.6" x14ac:dyDescent="0.3">
      <c r="B52" s="16"/>
      <c r="C52" s="4" t="s">
        <v>59</v>
      </c>
      <c r="D52" s="4">
        <f>SUM(H45:K45)</f>
        <v>0</v>
      </c>
      <c r="E52" s="12">
        <f>SUM(H46:K46)</f>
        <v>0</v>
      </c>
      <c r="F52" s="2"/>
    </row>
    <row r="53" spans="2:24" ht="15.6" x14ac:dyDescent="0.3">
      <c r="B53" s="16"/>
      <c r="C53" s="4" t="s">
        <v>60</v>
      </c>
      <c r="D53" s="4">
        <f>SUM(L45:O45)</f>
        <v>0</v>
      </c>
      <c r="E53" s="12">
        <f>SUM(L46:O46)</f>
        <v>0</v>
      </c>
      <c r="F53" s="2"/>
    </row>
    <row r="54" spans="2:24" ht="15.6" x14ac:dyDescent="0.3">
      <c r="B54" s="16"/>
      <c r="C54" s="4" t="s">
        <v>61</v>
      </c>
      <c r="D54" s="4">
        <f>SUM(P45:S45)</f>
        <v>0</v>
      </c>
      <c r="E54" s="12">
        <f>SUM(P46:S46)</f>
        <v>0</v>
      </c>
      <c r="F54" s="2"/>
    </row>
    <row r="55" spans="2:24" ht="15.6" x14ac:dyDescent="0.3">
      <c r="B55" s="16"/>
      <c r="C55" s="4" t="s">
        <v>62</v>
      </c>
      <c r="D55" s="4">
        <f>SUM(T45:W45)</f>
        <v>0</v>
      </c>
      <c r="E55" s="12">
        <f>SUM(T46:W46)</f>
        <v>0</v>
      </c>
      <c r="F55" s="2"/>
    </row>
    <row r="56" spans="2:24" ht="15.6" x14ac:dyDescent="0.3">
      <c r="B56" s="16"/>
      <c r="C56" s="4" t="s">
        <v>63</v>
      </c>
      <c r="D56" s="4">
        <f>SUM(Y45:AB45)</f>
        <v>0</v>
      </c>
      <c r="E56" s="4">
        <f>SUM(Y46:AB46)</f>
        <v>0</v>
      </c>
    </row>
    <row r="57" spans="2:24" ht="15.6" x14ac:dyDescent="0.3">
      <c r="B57" s="16"/>
      <c r="C57" s="4" t="s">
        <v>64</v>
      </c>
      <c r="D57" s="4">
        <f>SUM(AC45:AG45)</f>
        <v>0</v>
      </c>
      <c r="E57" s="4">
        <f>SUM(AC46:AG46)</f>
        <v>0</v>
      </c>
    </row>
    <row r="58" spans="2:24" ht="15.6" x14ac:dyDescent="0.3">
      <c r="B58" s="16"/>
      <c r="C58" s="4" t="s">
        <v>65</v>
      </c>
      <c r="D58" s="4">
        <v>0</v>
      </c>
      <c r="E58" s="4">
        <v>0</v>
      </c>
    </row>
    <row r="59" spans="2:24" ht="15.6" x14ac:dyDescent="0.3">
      <c r="B59" s="16"/>
      <c r="C59" s="4" t="s">
        <v>66</v>
      </c>
      <c r="D59" s="4">
        <v>0</v>
      </c>
      <c r="E59" s="4">
        <v>0</v>
      </c>
    </row>
    <row r="60" spans="2:24" ht="15.6" x14ac:dyDescent="0.3">
      <c r="B60" s="16"/>
      <c r="C60" s="4" t="s">
        <v>67</v>
      </c>
      <c r="D60" s="4">
        <v>0</v>
      </c>
      <c r="E60" s="4">
        <v>0</v>
      </c>
    </row>
    <row r="61" spans="2:24" ht="15.6" x14ac:dyDescent="0.3">
      <c r="B61" s="16"/>
      <c r="C61" s="4" t="s">
        <v>68</v>
      </c>
      <c r="D61" s="4">
        <v>0</v>
      </c>
      <c r="E61" s="4">
        <v>0</v>
      </c>
    </row>
    <row r="62" spans="2:24" ht="15.6" x14ac:dyDescent="0.3">
      <c r="B62" s="16"/>
      <c r="C62" s="4" t="s">
        <v>69</v>
      </c>
      <c r="D62" s="4">
        <v>0</v>
      </c>
      <c r="E62" s="4">
        <v>0</v>
      </c>
    </row>
    <row r="63" spans="2:24" ht="15.6" x14ac:dyDescent="0.3">
      <c r="B63" s="16"/>
      <c r="C63" s="4" t="s">
        <v>70</v>
      </c>
      <c r="D63" s="4">
        <v>0</v>
      </c>
      <c r="E63" s="4">
        <v>0</v>
      </c>
    </row>
    <row r="64" spans="2:24" ht="15.6" x14ac:dyDescent="0.3">
      <c r="B64" s="16"/>
      <c r="C64" s="18"/>
      <c r="D64" s="18"/>
      <c r="E64" s="18"/>
    </row>
    <row r="65" spans="2:44" x14ac:dyDescent="0.3">
      <c r="B65" s="16"/>
      <c r="F65" s="1"/>
    </row>
    <row r="66" spans="2:44" x14ac:dyDescent="0.3">
      <c r="B66" s="16"/>
    </row>
    <row r="67" spans="2:44" x14ac:dyDescent="0.3">
      <c r="B67" s="16"/>
    </row>
    <row r="68" spans="2:44" x14ac:dyDescent="0.3">
      <c r="B68" s="16"/>
    </row>
    <row r="69" spans="2:44" x14ac:dyDescent="0.3">
      <c r="B69" s="16"/>
    </row>
    <row r="70" spans="2:44" x14ac:dyDescent="0.3">
      <c r="B70" s="16"/>
    </row>
    <row r="71" spans="2:44" ht="15" thickBot="1" x14ac:dyDescent="0.35">
      <c r="B71" s="19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3" spans="2:44" ht="15" thickBot="1" x14ac:dyDescent="0.35"/>
    <row r="74" spans="2:44" x14ac:dyDescent="0.3">
      <c r="B74" s="14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2:44" ht="21" x14ac:dyDescent="0.4">
      <c r="B75" s="16"/>
      <c r="C75" s="65" t="s">
        <v>82</v>
      </c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 t="s">
        <v>82</v>
      </c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</row>
    <row r="76" spans="2:44" ht="26.4" thickBot="1" x14ac:dyDescent="0.55000000000000004">
      <c r="B76" s="16"/>
      <c r="C76" s="17" t="s">
        <v>83</v>
      </c>
      <c r="D76" s="18"/>
      <c r="E76" s="18"/>
    </row>
    <row r="77" spans="2:44" ht="16.2" thickBot="1" x14ac:dyDescent="0.35">
      <c r="B77" s="16"/>
      <c r="C77" s="8" t="s">
        <v>84</v>
      </c>
      <c r="D77" s="9" t="s">
        <v>5</v>
      </c>
      <c r="E77" s="10" t="s">
        <v>6</v>
      </c>
      <c r="F77" s="1"/>
    </row>
    <row r="78" spans="2:44" ht="21" x14ac:dyDescent="0.4">
      <c r="B78" s="16"/>
      <c r="C78" s="11" t="s">
        <v>7</v>
      </c>
      <c r="D78" s="11" t="s">
        <v>8</v>
      </c>
      <c r="E78" s="11" t="s">
        <v>8</v>
      </c>
      <c r="G78" s="5" t="s">
        <v>9</v>
      </c>
      <c r="H78" s="6" t="s">
        <v>10</v>
      </c>
      <c r="I78" s="6" t="s">
        <v>11</v>
      </c>
      <c r="J78" s="6" t="s">
        <v>12</v>
      </c>
      <c r="K78" s="6" t="s">
        <v>13</v>
      </c>
      <c r="L78" s="6" t="s">
        <v>14</v>
      </c>
      <c r="M78" s="6" t="s">
        <v>15</v>
      </c>
      <c r="N78" s="6" t="s">
        <v>16</v>
      </c>
      <c r="O78" s="6" t="s">
        <v>17</v>
      </c>
      <c r="P78" s="6" t="s">
        <v>18</v>
      </c>
      <c r="Q78" s="6" t="s">
        <v>19</v>
      </c>
      <c r="R78" s="6" t="s">
        <v>20</v>
      </c>
      <c r="S78" s="6" t="s">
        <v>21</v>
      </c>
      <c r="T78" s="6" t="s">
        <v>22</v>
      </c>
      <c r="U78" s="6" t="s">
        <v>23</v>
      </c>
      <c r="V78" s="6" t="s">
        <v>24</v>
      </c>
      <c r="W78" s="28" t="s">
        <v>25</v>
      </c>
      <c r="X78" s="6" t="s">
        <v>26</v>
      </c>
      <c r="Y78" s="6" t="s">
        <v>27</v>
      </c>
      <c r="Z78" s="6" t="s">
        <v>28</v>
      </c>
      <c r="AA78" s="6" t="s">
        <v>29</v>
      </c>
      <c r="AB78" s="6" t="s">
        <v>30</v>
      </c>
      <c r="AC78" s="6" t="s">
        <v>31</v>
      </c>
      <c r="AD78" s="6" t="s">
        <v>32</v>
      </c>
      <c r="AE78" s="6" t="s">
        <v>33</v>
      </c>
      <c r="AF78" s="6" t="s">
        <v>34</v>
      </c>
      <c r="AG78" s="6" t="s">
        <v>35</v>
      </c>
      <c r="AH78" s="6" t="s">
        <v>36</v>
      </c>
      <c r="AI78" s="6" t="s">
        <v>37</v>
      </c>
      <c r="AJ78" s="6" t="s">
        <v>38</v>
      </c>
      <c r="AK78" s="6" t="s">
        <v>39</v>
      </c>
      <c r="AL78" s="6" t="s">
        <v>40</v>
      </c>
      <c r="AM78" s="6" t="s">
        <v>41</v>
      </c>
      <c r="AN78" s="6" t="s">
        <v>42</v>
      </c>
      <c r="AO78" s="6" t="s">
        <v>43</v>
      </c>
    </row>
    <row r="79" spans="2:44" ht="21" x14ac:dyDescent="0.4">
      <c r="B79" s="16"/>
      <c r="C79" s="4" t="s">
        <v>44</v>
      </c>
      <c r="D79" s="4" t="s">
        <v>74</v>
      </c>
      <c r="E79" s="4" t="s">
        <v>75</v>
      </c>
      <c r="G79" s="5" t="s">
        <v>47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29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25</v>
      </c>
    </row>
    <row r="80" spans="2:44" ht="21" x14ac:dyDescent="0.4">
      <c r="B80" s="16"/>
      <c r="C80" s="4" t="s">
        <v>48</v>
      </c>
      <c r="D80" s="4" t="s">
        <v>85</v>
      </c>
      <c r="E80" s="4" t="s">
        <v>86</v>
      </c>
      <c r="G80" s="5" t="s">
        <v>49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29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25</v>
      </c>
    </row>
    <row r="81" spans="2:24" ht="15.6" x14ac:dyDescent="0.3">
      <c r="B81" s="16"/>
      <c r="C81" s="4" t="s">
        <v>50</v>
      </c>
      <c r="D81" s="23">
        <v>45507</v>
      </c>
      <c r="E81" s="23">
        <v>45507</v>
      </c>
    </row>
    <row r="82" spans="2:24" ht="15.6" x14ac:dyDescent="0.3">
      <c r="B82" s="16"/>
      <c r="C82" s="4" t="s">
        <v>51</v>
      </c>
      <c r="D82" s="4" t="s">
        <v>87</v>
      </c>
      <c r="E82" s="4" t="s">
        <v>88</v>
      </c>
    </row>
    <row r="83" spans="2:24" ht="15.6" x14ac:dyDescent="0.3">
      <c r="B83" s="16"/>
      <c r="C83" s="4" t="s">
        <v>54</v>
      </c>
      <c r="D83" s="4" t="s">
        <v>89</v>
      </c>
      <c r="E83" s="12" t="s">
        <v>90</v>
      </c>
      <c r="F83" s="2"/>
    </row>
    <row r="84" spans="2:24" ht="15.6" x14ac:dyDescent="0.3">
      <c r="B84" s="16"/>
      <c r="C84" s="18"/>
      <c r="D84" s="18"/>
      <c r="E84" s="18"/>
      <c r="F84" s="2"/>
      <c r="X84" s="1"/>
    </row>
    <row r="85" spans="2:24" ht="15.6" x14ac:dyDescent="0.3">
      <c r="B85" s="16"/>
      <c r="C85" s="3" t="s">
        <v>57</v>
      </c>
      <c r="D85" s="3" t="s">
        <v>5</v>
      </c>
      <c r="E85" s="13" t="s">
        <v>58</v>
      </c>
      <c r="F85" s="2"/>
    </row>
    <row r="86" spans="2:24" ht="15.6" x14ac:dyDescent="0.3">
      <c r="B86" s="16"/>
      <c r="C86" s="4" t="s">
        <v>59</v>
      </c>
      <c r="D86" s="4">
        <f>SUM(H79:K79)</f>
        <v>0</v>
      </c>
      <c r="E86" s="12">
        <f>SUM(H80:K80)</f>
        <v>0</v>
      </c>
      <c r="F86" s="2"/>
    </row>
    <row r="87" spans="2:24" ht="15.6" x14ac:dyDescent="0.3">
      <c r="B87" s="16"/>
      <c r="C87" s="4" t="s">
        <v>60</v>
      </c>
      <c r="D87" s="4">
        <f>SUM(L79:O79)</f>
        <v>0</v>
      </c>
      <c r="E87" s="12">
        <f>SUM(L79:O79)</f>
        <v>0</v>
      </c>
      <c r="F87" s="2"/>
    </row>
    <row r="88" spans="2:24" ht="15.6" x14ac:dyDescent="0.3">
      <c r="B88" s="16"/>
      <c r="C88" s="4" t="s">
        <v>61</v>
      </c>
      <c r="D88" s="4">
        <f>SUM(P79:S79)</f>
        <v>0</v>
      </c>
      <c r="E88" s="12">
        <f>SUM(P80:S80)</f>
        <v>0</v>
      </c>
      <c r="F88" s="2"/>
    </row>
    <row r="89" spans="2:24" ht="15.6" x14ac:dyDescent="0.3">
      <c r="B89" s="16"/>
      <c r="C89" s="4" t="s">
        <v>62</v>
      </c>
      <c r="D89" s="4">
        <f>SUM(T79:W79)</f>
        <v>0</v>
      </c>
      <c r="E89" s="12">
        <f>SUM(T80:W80)</f>
        <v>0</v>
      </c>
      <c r="F89" s="2"/>
    </row>
    <row r="90" spans="2:24" ht="15.6" x14ac:dyDescent="0.3">
      <c r="B90" s="16"/>
      <c r="C90" s="4" t="s">
        <v>63</v>
      </c>
      <c r="D90" s="4">
        <f>SUM(Y79:AB79)</f>
        <v>0</v>
      </c>
      <c r="E90" s="4">
        <f>SUM(Y80:AB80)</f>
        <v>0</v>
      </c>
    </row>
    <row r="91" spans="2:24" ht="15.6" x14ac:dyDescent="0.3">
      <c r="B91" s="16"/>
      <c r="C91" s="4" t="s">
        <v>64</v>
      </c>
      <c r="D91" s="4">
        <f>SUM(AC79:AG79)</f>
        <v>0</v>
      </c>
      <c r="E91" s="4">
        <f>SUM(AC80:AG80)</f>
        <v>0</v>
      </c>
    </row>
    <row r="92" spans="2:24" ht="15.6" x14ac:dyDescent="0.3">
      <c r="B92" s="16"/>
      <c r="C92" s="4" t="s">
        <v>65</v>
      </c>
      <c r="D92" s="4">
        <v>0</v>
      </c>
      <c r="E92" s="4">
        <v>0</v>
      </c>
    </row>
    <row r="93" spans="2:24" ht="15.6" x14ac:dyDescent="0.3">
      <c r="B93" s="16"/>
      <c r="C93" s="4" t="s">
        <v>66</v>
      </c>
      <c r="D93" s="4">
        <v>25</v>
      </c>
      <c r="E93" s="4">
        <v>25</v>
      </c>
    </row>
    <row r="94" spans="2:24" ht="15.6" x14ac:dyDescent="0.3">
      <c r="B94" s="16"/>
      <c r="C94" s="4" t="s">
        <v>67</v>
      </c>
      <c r="D94" s="4">
        <v>0</v>
      </c>
      <c r="E94" s="4">
        <v>0</v>
      </c>
    </row>
    <row r="95" spans="2:24" ht="15.6" x14ac:dyDescent="0.3">
      <c r="B95" s="16"/>
      <c r="C95" s="4" t="s">
        <v>68</v>
      </c>
      <c r="D95" s="4">
        <v>0</v>
      </c>
      <c r="E95" s="4">
        <v>0</v>
      </c>
    </row>
    <row r="96" spans="2:24" ht="15.6" x14ac:dyDescent="0.3">
      <c r="B96" s="16"/>
      <c r="C96" s="4" t="s">
        <v>69</v>
      </c>
      <c r="D96" s="4">
        <v>0</v>
      </c>
      <c r="E96" s="4">
        <v>0</v>
      </c>
    </row>
    <row r="97" spans="2:44" ht="15.6" x14ac:dyDescent="0.3">
      <c r="B97" s="16"/>
      <c r="C97" s="4" t="s">
        <v>70</v>
      </c>
      <c r="D97" s="4">
        <v>0</v>
      </c>
      <c r="E97" s="4">
        <v>0</v>
      </c>
    </row>
    <row r="98" spans="2:44" ht="15.6" x14ac:dyDescent="0.3">
      <c r="B98" s="16"/>
      <c r="C98" s="18"/>
      <c r="D98" s="18"/>
      <c r="E98" s="18"/>
    </row>
    <row r="99" spans="2:44" x14ac:dyDescent="0.3">
      <c r="B99" s="16"/>
      <c r="F99" s="1"/>
    </row>
    <row r="100" spans="2:44" x14ac:dyDescent="0.3">
      <c r="B100" s="16"/>
    </row>
    <row r="101" spans="2:44" x14ac:dyDescent="0.3">
      <c r="B101" s="16"/>
    </row>
    <row r="102" spans="2:44" x14ac:dyDescent="0.3">
      <c r="B102" s="16"/>
    </row>
    <row r="103" spans="2:44" x14ac:dyDescent="0.3">
      <c r="B103" s="16"/>
    </row>
    <row r="104" spans="2:44" x14ac:dyDescent="0.3">
      <c r="B104" s="16"/>
    </row>
    <row r="105" spans="2:44" ht="15" thickBot="1" x14ac:dyDescent="0.35">
      <c r="B105" s="19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7" spans="2:44" ht="15" thickBot="1" x14ac:dyDescent="0.35"/>
    <row r="108" spans="2:44" x14ac:dyDescent="0.3">
      <c r="B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2:44" ht="21" x14ac:dyDescent="0.4">
      <c r="B109" s="16"/>
      <c r="C109" s="65" t="s">
        <v>91</v>
      </c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 t="s">
        <v>91</v>
      </c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</row>
    <row r="110" spans="2:44" ht="26.4" thickBot="1" x14ac:dyDescent="0.55000000000000004">
      <c r="B110" s="16"/>
      <c r="C110" s="17" t="s">
        <v>92</v>
      </c>
      <c r="D110" s="18"/>
      <c r="E110" s="18"/>
    </row>
    <row r="111" spans="2:44" ht="16.2" thickBot="1" x14ac:dyDescent="0.35">
      <c r="B111" s="16"/>
      <c r="C111" s="8" t="s">
        <v>93</v>
      </c>
      <c r="D111" s="9" t="s">
        <v>5</v>
      </c>
      <c r="E111" s="10" t="s">
        <v>6</v>
      </c>
      <c r="F111" s="1"/>
    </row>
    <row r="112" spans="2:44" ht="21" x14ac:dyDescent="0.4">
      <c r="B112" s="16"/>
      <c r="C112" s="11" t="s">
        <v>7</v>
      </c>
      <c r="D112" s="11" t="s">
        <v>8</v>
      </c>
      <c r="E112" s="11" t="s">
        <v>8</v>
      </c>
      <c r="G112" s="5" t="s">
        <v>9</v>
      </c>
      <c r="H112" s="6" t="s">
        <v>10</v>
      </c>
      <c r="I112" s="6" t="s">
        <v>11</v>
      </c>
      <c r="J112" s="6" t="s">
        <v>12</v>
      </c>
      <c r="K112" s="6" t="s">
        <v>13</v>
      </c>
      <c r="L112" s="6" t="s">
        <v>14</v>
      </c>
      <c r="M112" s="6" t="s">
        <v>15</v>
      </c>
      <c r="N112" s="6" t="s">
        <v>16</v>
      </c>
      <c r="O112" s="6" t="s">
        <v>17</v>
      </c>
      <c r="P112" s="6" t="s">
        <v>18</v>
      </c>
      <c r="Q112" s="6" t="s">
        <v>19</v>
      </c>
      <c r="R112" s="6" t="s">
        <v>20</v>
      </c>
      <c r="S112" s="6" t="s">
        <v>21</v>
      </c>
      <c r="T112" s="6" t="s">
        <v>22</v>
      </c>
      <c r="U112" s="6" t="s">
        <v>23</v>
      </c>
      <c r="V112" s="6" t="s">
        <v>24</v>
      </c>
      <c r="W112" s="28" t="s">
        <v>25</v>
      </c>
      <c r="X112" s="6" t="s">
        <v>26</v>
      </c>
      <c r="Y112" s="6" t="s">
        <v>27</v>
      </c>
      <c r="Z112" s="6" t="s">
        <v>28</v>
      </c>
      <c r="AA112" s="6" t="s">
        <v>29</v>
      </c>
      <c r="AB112" s="6" t="s">
        <v>30</v>
      </c>
      <c r="AC112" s="6" t="s">
        <v>31</v>
      </c>
      <c r="AD112" s="6" t="s">
        <v>32</v>
      </c>
      <c r="AE112" s="6" t="s">
        <v>33</v>
      </c>
      <c r="AF112" s="6" t="s">
        <v>34</v>
      </c>
      <c r="AG112" s="6" t="s">
        <v>35</v>
      </c>
      <c r="AH112" s="6" t="s">
        <v>36</v>
      </c>
      <c r="AI112" s="6" t="s">
        <v>37</v>
      </c>
      <c r="AJ112" s="6" t="s">
        <v>38</v>
      </c>
      <c r="AK112" s="6" t="s">
        <v>39</v>
      </c>
      <c r="AL112" s="6" t="s">
        <v>40</v>
      </c>
      <c r="AM112" s="6" t="s">
        <v>41</v>
      </c>
      <c r="AN112" s="6" t="s">
        <v>42</v>
      </c>
      <c r="AO112" s="6" t="s">
        <v>43</v>
      </c>
    </row>
    <row r="113" spans="2:41" ht="21" x14ac:dyDescent="0.4">
      <c r="B113" s="16"/>
      <c r="C113" s="4" t="s">
        <v>44</v>
      </c>
      <c r="D113" s="4" t="s">
        <v>94</v>
      </c>
      <c r="E113" s="4" t="s">
        <v>95</v>
      </c>
      <c r="G113" s="5" t="s">
        <v>47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20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29">
        <v>8</v>
      </c>
      <c r="X113" s="7">
        <v>0</v>
      </c>
      <c r="Y113" s="7">
        <v>0</v>
      </c>
      <c r="Z113" s="7">
        <v>6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20</v>
      </c>
      <c r="AH113" s="7">
        <v>0</v>
      </c>
      <c r="AI113" s="7">
        <v>0</v>
      </c>
      <c r="AJ113" s="7">
        <v>0</v>
      </c>
      <c r="AK113" s="7">
        <v>15</v>
      </c>
      <c r="AL113" s="7">
        <v>0</v>
      </c>
      <c r="AM113" s="7">
        <v>0</v>
      </c>
      <c r="AN113" s="7">
        <v>0</v>
      </c>
      <c r="AO113" s="7">
        <v>0</v>
      </c>
    </row>
    <row r="114" spans="2:41" ht="21" x14ac:dyDescent="0.4">
      <c r="B114" s="16"/>
      <c r="C114" s="4" t="s">
        <v>48</v>
      </c>
      <c r="D114" s="4" t="s">
        <v>96</v>
      </c>
      <c r="E114" s="4" t="s">
        <v>97</v>
      </c>
      <c r="G114" s="5" t="s">
        <v>49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29">
        <v>9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20</v>
      </c>
      <c r="AH114" s="7">
        <v>0</v>
      </c>
      <c r="AI114" s="7">
        <v>0</v>
      </c>
      <c r="AJ114" s="7">
        <v>0</v>
      </c>
      <c r="AK114" s="7">
        <v>17</v>
      </c>
      <c r="AL114" s="7">
        <v>0</v>
      </c>
      <c r="AM114" s="7">
        <v>0</v>
      </c>
      <c r="AN114" s="7">
        <v>0</v>
      </c>
      <c r="AO114" s="7">
        <v>0</v>
      </c>
    </row>
    <row r="115" spans="2:41" ht="15.6" x14ac:dyDescent="0.3">
      <c r="B115" s="16"/>
      <c r="C115" s="4" t="s">
        <v>50</v>
      </c>
      <c r="D115" s="23">
        <v>45944</v>
      </c>
      <c r="E115" s="23">
        <v>45944</v>
      </c>
    </row>
    <row r="116" spans="2:41" ht="15.6" x14ac:dyDescent="0.3">
      <c r="B116" s="16"/>
      <c r="C116" s="4" t="s">
        <v>51</v>
      </c>
      <c r="D116" s="4" t="s">
        <v>98</v>
      </c>
      <c r="E116" s="4" t="s">
        <v>99</v>
      </c>
    </row>
    <row r="117" spans="2:41" ht="15.6" x14ac:dyDescent="0.3">
      <c r="B117" s="16"/>
      <c r="C117" s="4" t="s">
        <v>54</v>
      </c>
      <c r="D117" s="4"/>
      <c r="E117" s="12"/>
      <c r="F117" s="2"/>
    </row>
    <row r="118" spans="2:41" ht="15.6" x14ac:dyDescent="0.3">
      <c r="B118" s="16"/>
      <c r="C118" s="18"/>
      <c r="D118" s="18"/>
      <c r="E118" s="18"/>
      <c r="F118" s="2"/>
      <c r="X118" s="1"/>
    </row>
    <row r="119" spans="2:41" ht="15.6" x14ac:dyDescent="0.3">
      <c r="B119" s="16"/>
      <c r="C119" s="3" t="s">
        <v>57</v>
      </c>
      <c r="D119" s="3" t="s">
        <v>5</v>
      </c>
      <c r="E119" s="13" t="s">
        <v>58</v>
      </c>
      <c r="F119" s="2"/>
    </row>
    <row r="120" spans="2:41" ht="15.6" x14ac:dyDescent="0.3">
      <c r="B120" s="16"/>
      <c r="C120" s="4" t="s">
        <v>59</v>
      </c>
      <c r="D120" s="4">
        <f>SUM(H113:K113)</f>
        <v>0</v>
      </c>
      <c r="E120" s="12">
        <f>SUM(H114:K114)</f>
        <v>0</v>
      </c>
      <c r="F120" s="2"/>
    </row>
    <row r="121" spans="2:41" ht="15.6" x14ac:dyDescent="0.3">
      <c r="B121" s="16"/>
      <c r="C121" s="4" t="s">
        <v>60</v>
      </c>
      <c r="D121" s="4">
        <f>SUM(L113:O113)</f>
        <v>20</v>
      </c>
      <c r="E121" s="12">
        <f>SUM(L114:O114)</f>
        <v>0</v>
      </c>
      <c r="F121" s="2"/>
    </row>
    <row r="122" spans="2:41" ht="15.6" x14ac:dyDescent="0.3">
      <c r="B122" s="16"/>
      <c r="C122" s="4" t="s">
        <v>61</v>
      </c>
      <c r="D122" s="4">
        <f>SUM(P113:S113)</f>
        <v>0</v>
      </c>
      <c r="E122" s="12">
        <f>SUM(P114:S114)</f>
        <v>0</v>
      </c>
      <c r="F122" s="2"/>
    </row>
    <row r="123" spans="2:41" ht="15.6" x14ac:dyDescent="0.3">
      <c r="B123" s="16"/>
      <c r="C123" s="4" t="s">
        <v>62</v>
      </c>
      <c r="D123" s="4">
        <f>SUM(T113:W113)</f>
        <v>8</v>
      </c>
      <c r="E123" s="12">
        <f>SUM(T114:W114)</f>
        <v>9</v>
      </c>
      <c r="F123" s="2"/>
    </row>
    <row r="124" spans="2:41" ht="15.6" x14ac:dyDescent="0.3">
      <c r="B124" s="16"/>
      <c r="C124" s="4" t="s">
        <v>63</v>
      </c>
      <c r="D124" s="4">
        <f>SUM(Y113:AB113)</f>
        <v>6</v>
      </c>
      <c r="E124" s="4">
        <f>SUM(Y114:AB114)</f>
        <v>0</v>
      </c>
    </row>
    <row r="125" spans="2:41" ht="15.6" x14ac:dyDescent="0.3">
      <c r="B125" s="16"/>
      <c r="C125" s="4" t="s">
        <v>64</v>
      </c>
      <c r="D125" s="4">
        <f>SUM(AC113:AG113)</f>
        <v>20</v>
      </c>
      <c r="E125" s="4">
        <f>SUM(AC114:AG114)</f>
        <v>20</v>
      </c>
    </row>
    <row r="126" spans="2:41" ht="15.6" x14ac:dyDescent="0.3">
      <c r="B126" s="16"/>
      <c r="C126" s="4" t="s">
        <v>65</v>
      </c>
      <c r="D126" s="4">
        <v>0</v>
      </c>
      <c r="E126" s="4">
        <v>0</v>
      </c>
    </row>
    <row r="127" spans="2:41" ht="15.6" x14ac:dyDescent="0.3">
      <c r="B127" s="16"/>
      <c r="C127" s="4" t="s">
        <v>66</v>
      </c>
      <c r="D127" s="4">
        <v>0</v>
      </c>
      <c r="E127" s="4">
        <v>0</v>
      </c>
    </row>
    <row r="128" spans="2:41" ht="15.6" x14ac:dyDescent="0.3">
      <c r="B128" s="16"/>
      <c r="C128" s="4" t="s">
        <v>67</v>
      </c>
      <c r="D128" s="4">
        <v>0</v>
      </c>
      <c r="E128" s="4">
        <v>0</v>
      </c>
    </row>
    <row r="129" spans="2:23" ht="15.6" x14ac:dyDescent="0.3">
      <c r="B129" s="16"/>
      <c r="C129" s="4" t="s">
        <v>68</v>
      </c>
      <c r="D129" s="4">
        <v>0</v>
      </c>
      <c r="E129" s="4">
        <v>0</v>
      </c>
    </row>
    <row r="130" spans="2:23" ht="15.6" x14ac:dyDescent="0.3">
      <c r="B130" s="16"/>
      <c r="C130" s="4" t="s">
        <v>69</v>
      </c>
      <c r="D130" s="4">
        <v>0</v>
      </c>
      <c r="E130" s="4">
        <v>0</v>
      </c>
    </row>
    <row r="131" spans="2:23" ht="15.6" x14ac:dyDescent="0.3">
      <c r="B131" s="16"/>
      <c r="C131" s="4" t="s">
        <v>70</v>
      </c>
      <c r="D131" s="4">
        <v>0</v>
      </c>
      <c r="E131" s="4">
        <v>0</v>
      </c>
    </row>
    <row r="132" spans="2:23" ht="15.6" x14ac:dyDescent="0.3">
      <c r="B132" s="16"/>
      <c r="C132" s="18"/>
      <c r="D132" s="18"/>
      <c r="E132" s="18"/>
    </row>
    <row r="133" spans="2:23" x14ac:dyDescent="0.3">
      <c r="B133" s="16"/>
      <c r="F133" s="1"/>
    </row>
    <row r="134" spans="2:23" x14ac:dyDescent="0.3">
      <c r="B134" s="16"/>
    </row>
    <row r="135" spans="2:23" x14ac:dyDescent="0.3">
      <c r="B135" s="16"/>
    </row>
    <row r="136" spans="2:23" x14ac:dyDescent="0.3">
      <c r="B136" s="16"/>
    </row>
    <row r="137" spans="2:23" x14ac:dyDescent="0.3">
      <c r="B137" s="16"/>
    </row>
    <row r="138" spans="2:23" x14ac:dyDescent="0.3">
      <c r="B138" s="16"/>
    </row>
    <row r="139" spans="2:23" ht="15" thickBot="1" x14ac:dyDescent="0.35">
      <c r="B139" s="19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1" spans="2:23" ht="15" thickBot="1" x14ac:dyDescent="0.35"/>
    <row r="142" spans="2:23" x14ac:dyDescent="0.3">
      <c r="B142" s="14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2:23" ht="21" x14ac:dyDescent="0.4">
      <c r="B143" s="16"/>
      <c r="C143" s="65" t="s">
        <v>100</v>
      </c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</row>
    <row r="144" spans="2:23" ht="26.4" thickBot="1" x14ac:dyDescent="0.55000000000000004">
      <c r="B144" s="16"/>
      <c r="C144" s="17" t="s">
        <v>101</v>
      </c>
      <c r="D144" s="18"/>
      <c r="E144" s="18"/>
    </row>
    <row r="145" spans="2:41" ht="16.2" thickBot="1" x14ac:dyDescent="0.35">
      <c r="B145" s="16"/>
      <c r="C145" s="8" t="s">
        <v>102</v>
      </c>
      <c r="D145" s="9" t="s">
        <v>5</v>
      </c>
      <c r="E145" s="10" t="s">
        <v>6</v>
      </c>
      <c r="F145" s="1"/>
    </row>
    <row r="146" spans="2:41" ht="21" x14ac:dyDescent="0.4">
      <c r="B146" s="16"/>
      <c r="C146" s="11" t="s">
        <v>7</v>
      </c>
      <c r="D146" s="11" t="s">
        <v>8</v>
      </c>
      <c r="E146" s="11" t="s">
        <v>8</v>
      </c>
      <c r="G146" s="5" t="s">
        <v>9</v>
      </c>
      <c r="H146" s="6" t="s">
        <v>10</v>
      </c>
      <c r="I146" s="6" t="s">
        <v>11</v>
      </c>
      <c r="J146" s="6" t="s">
        <v>12</v>
      </c>
      <c r="K146" s="6" t="s">
        <v>13</v>
      </c>
      <c r="L146" s="6" t="s">
        <v>14</v>
      </c>
      <c r="M146" s="6" t="s">
        <v>15</v>
      </c>
      <c r="N146" s="6" t="s">
        <v>16</v>
      </c>
      <c r="O146" s="6" t="s">
        <v>17</v>
      </c>
      <c r="P146" s="6" t="s">
        <v>18</v>
      </c>
      <c r="Q146" s="6" t="s">
        <v>19</v>
      </c>
      <c r="R146" s="6" t="s">
        <v>20</v>
      </c>
      <c r="S146" s="6" t="s">
        <v>21</v>
      </c>
      <c r="T146" s="6" t="s">
        <v>22</v>
      </c>
      <c r="U146" s="6" t="s">
        <v>23</v>
      </c>
      <c r="V146" s="6" t="s">
        <v>24</v>
      </c>
      <c r="W146" s="28" t="s">
        <v>25</v>
      </c>
      <c r="X146" s="6" t="s">
        <v>26</v>
      </c>
      <c r="Y146" s="6" t="s">
        <v>27</v>
      </c>
      <c r="Z146" s="6" t="s">
        <v>28</v>
      </c>
      <c r="AA146" s="6" t="s">
        <v>29</v>
      </c>
      <c r="AB146" s="6" t="s">
        <v>30</v>
      </c>
      <c r="AC146" s="6" t="s">
        <v>31</v>
      </c>
      <c r="AD146" s="6" t="s">
        <v>32</v>
      </c>
      <c r="AE146" s="6" t="s">
        <v>33</v>
      </c>
      <c r="AF146" s="6" t="s">
        <v>34</v>
      </c>
      <c r="AG146" s="6" t="s">
        <v>35</v>
      </c>
      <c r="AH146" s="6" t="s">
        <v>36</v>
      </c>
      <c r="AI146" s="6" t="s">
        <v>37</v>
      </c>
      <c r="AJ146" s="6" t="s">
        <v>38</v>
      </c>
      <c r="AK146" s="6" t="s">
        <v>39</v>
      </c>
      <c r="AL146" s="6" t="s">
        <v>40</v>
      </c>
      <c r="AM146" s="6" t="s">
        <v>41</v>
      </c>
      <c r="AN146" s="6" t="s">
        <v>42</v>
      </c>
      <c r="AO146" s="6" t="s">
        <v>43</v>
      </c>
    </row>
    <row r="147" spans="2:41" ht="21" x14ac:dyDescent="0.4">
      <c r="B147" s="16"/>
      <c r="C147" s="4" t="s">
        <v>44</v>
      </c>
      <c r="D147" s="4" t="s">
        <v>103</v>
      </c>
      <c r="E147" s="4" t="s">
        <v>104</v>
      </c>
      <c r="G147" s="5" t="s">
        <v>47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19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29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13</v>
      </c>
      <c r="AH147" s="7">
        <v>15</v>
      </c>
      <c r="AI147" s="7">
        <v>20</v>
      </c>
      <c r="AJ147" s="7">
        <v>78</v>
      </c>
      <c r="AK147" s="7">
        <v>0</v>
      </c>
      <c r="AL147" s="7">
        <v>0</v>
      </c>
      <c r="AM147" s="7">
        <v>0</v>
      </c>
      <c r="AN147" s="7">
        <v>0</v>
      </c>
      <c r="AO147" s="7">
        <v>5</v>
      </c>
    </row>
    <row r="148" spans="2:41" ht="21" x14ac:dyDescent="0.4">
      <c r="B148" s="16"/>
      <c r="C148" s="4" t="s">
        <v>48</v>
      </c>
      <c r="D148" s="4" t="s">
        <v>105</v>
      </c>
      <c r="E148" s="4" t="s">
        <v>106</v>
      </c>
      <c r="G148" s="5" t="s">
        <v>49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29">
        <v>0</v>
      </c>
      <c r="X148" s="7">
        <v>0</v>
      </c>
      <c r="Y148" s="7">
        <v>0</v>
      </c>
      <c r="Z148" s="7">
        <v>42</v>
      </c>
      <c r="AA148" s="7">
        <v>0</v>
      </c>
      <c r="AB148" s="7">
        <v>5</v>
      </c>
      <c r="AC148" s="7">
        <v>0</v>
      </c>
      <c r="AD148" s="7">
        <v>0</v>
      </c>
      <c r="AE148" s="7">
        <v>0</v>
      </c>
      <c r="AF148" s="7">
        <v>0</v>
      </c>
      <c r="AG148" s="7">
        <v>13</v>
      </c>
      <c r="AH148" s="7">
        <v>45</v>
      </c>
      <c r="AI148" s="7">
        <v>0</v>
      </c>
      <c r="AJ148" s="7">
        <v>78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</row>
    <row r="149" spans="2:41" ht="15.6" x14ac:dyDescent="0.3">
      <c r="B149" s="16"/>
      <c r="C149" s="4" t="s">
        <v>50</v>
      </c>
      <c r="D149" s="23">
        <v>45599</v>
      </c>
      <c r="E149" s="23">
        <v>45599</v>
      </c>
    </row>
    <row r="150" spans="2:41" ht="15.6" x14ac:dyDescent="0.3">
      <c r="B150" s="16"/>
      <c r="C150" s="4" t="s">
        <v>51</v>
      </c>
      <c r="D150" s="4" t="s">
        <v>107</v>
      </c>
      <c r="E150" s="4" t="s">
        <v>108</v>
      </c>
    </row>
    <row r="151" spans="2:41" ht="15.6" x14ac:dyDescent="0.3">
      <c r="B151" s="16"/>
      <c r="C151" s="4" t="s">
        <v>54</v>
      </c>
      <c r="D151" s="4"/>
      <c r="E151" s="12"/>
      <c r="F151" s="2"/>
    </row>
    <row r="152" spans="2:41" ht="15.6" x14ac:dyDescent="0.3">
      <c r="B152" s="16"/>
      <c r="C152" s="18"/>
      <c r="D152" s="18"/>
      <c r="E152" s="18"/>
      <c r="F152" s="2"/>
      <c r="X152" s="1"/>
    </row>
    <row r="153" spans="2:41" ht="15.6" x14ac:dyDescent="0.3">
      <c r="B153" s="16"/>
      <c r="C153" s="3" t="s">
        <v>57</v>
      </c>
      <c r="D153" s="3" t="s">
        <v>5</v>
      </c>
      <c r="E153" s="13" t="s">
        <v>58</v>
      </c>
      <c r="F153" s="2"/>
    </row>
    <row r="154" spans="2:41" ht="15.6" x14ac:dyDescent="0.3">
      <c r="B154" s="16"/>
      <c r="C154" s="4" t="s">
        <v>59</v>
      </c>
      <c r="D154" s="4">
        <f>SUM(H147:K147)</f>
        <v>0</v>
      </c>
      <c r="E154" s="12">
        <f>SUM(H148:K148)</f>
        <v>0</v>
      </c>
      <c r="F154" s="2"/>
    </row>
    <row r="155" spans="2:41" ht="15.6" x14ac:dyDescent="0.3">
      <c r="B155" s="16"/>
      <c r="C155" s="4" t="s">
        <v>60</v>
      </c>
      <c r="D155" s="4">
        <f>SUM(L147:O147)</f>
        <v>19</v>
      </c>
      <c r="E155" s="12">
        <f>SUM(L148:O148)</f>
        <v>0</v>
      </c>
      <c r="F155" s="2"/>
    </row>
    <row r="156" spans="2:41" ht="15.6" x14ac:dyDescent="0.3">
      <c r="B156" s="16"/>
      <c r="C156" s="4" t="s">
        <v>61</v>
      </c>
      <c r="D156" s="4">
        <f>SUM(P147:S147)</f>
        <v>0</v>
      </c>
      <c r="E156" s="12">
        <f>SUM(P148:S148)</f>
        <v>0</v>
      </c>
      <c r="F156" s="2"/>
    </row>
    <row r="157" spans="2:41" ht="15.6" x14ac:dyDescent="0.3">
      <c r="B157" s="16"/>
      <c r="C157" s="4" t="s">
        <v>62</v>
      </c>
      <c r="D157" s="4">
        <f>SUM(T147:W147)</f>
        <v>0</v>
      </c>
      <c r="E157" s="12">
        <f>SUM(T148:W148)</f>
        <v>0</v>
      </c>
      <c r="F157" s="2"/>
    </row>
    <row r="158" spans="2:41" ht="15.6" x14ac:dyDescent="0.3">
      <c r="B158" s="16"/>
      <c r="C158" s="4" t="s">
        <v>63</v>
      </c>
      <c r="D158" s="4">
        <f>SUM(Y147:AB147)</f>
        <v>0</v>
      </c>
      <c r="E158" s="4">
        <f>SUM(Y148:AB148)</f>
        <v>47</v>
      </c>
    </row>
    <row r="159" spans="2:41" ht="15.6" x14ac:dyDescent="0.3">
      <c r="B159" s="16"/>
      <c r="C159" s="4" t="s">
        <v>64</v>
      </c>
      <c r="D159" s="4">
        <f>SUM(AC147:AG147)</f>
        <v>13</v>
      </c>
      <c r="E159" s="4">
        <f>SUM(AC148:AG148)</f>
        <v>13</v>
      </c>
    </row>
    <row r="160" spans="2:41" ht="15.6" x14ac:dyDescent="0.3">
      <c r="B160" s="16"/>
      <c r="C160" s="4" t="s">
        <v>65</v>
      </c>
      <c r="D160" s="4">
        <f>SUM(AH147:AK147)</f>
        <v>113</v>
      </c>
      <c r="E160" s="4">
        <f>SUM(AH148:AK148)</f>
        <v>123</v>
      </c>
    </row>
    <row r="161" spans="2:23" ht="15.6" x14ac:dyDescent="0.3">
      <c r="B161" s="16"/>
      <c r="C161" s="4" t="s">
        <v>66</v>
      </c>
      <c r="D161" s="4">
        <v>0</v>
      </c>
      <c r="E161" s="4">
        <v>0</v>
      </c>
    </row>
    <row r="162" spans="2:23" ht="15.6" x14ac:dyDescent="0.3">
      <c r="B162" s="16"/>
      <c r="C162" s="4" t="s">
        <v>67</v>
      </c>
      <c r="D162" s="4">
        <v>0</v>
      </c>
      <c r="E162" s="4">
        <v>0</v>
      </c>
    </row>
    <row r="163" spans="2:23" ht="15.6" x14ac:dyDescent="0.3">
      <c r="B163" s="16"/>
      <c r="C163" s="4" t="s">
        <v>68</v>
      </c>
      <c r="D163" s="4">
        <v>0</v>
      </c>
      <c r="E163" s="4">
        <v>0</v>
      </c>
    </row>
    <row r="164" spans="2:23" ht="15.6" x14ac:dyDescent="0.3">
      <c r="B164" s="16"/>
      <c r="C164" s="4" t="s">
        <v>69</v>
      </c>
      <c r="D164" s="4">
        <v>0</v>
      </c>
      <c r="E164" s="4">
        <v>0</v>
      </c>
    </row>
    <row r="165" spans="2:23" ht="15.6" x14ac:dyDescent="0.3">
      <c r="B165" s="16"/>
      <c r="C165" s="4" t="s">
        <v>70</v>
      </c>
      <c r="D165" s="4">
        <v>0</v>
      </c>
      <c r="E165" s="4">
        <v>0</v>
      </c>
    </row>
    <row r="166" spans="2:23" ht="15.6" x14ac:dyDescent="0.3">
      <c r="B166" s="16"/>
      <c r="C166" s="18"/>
      <c r="D166" s="18"/>
      <c r="E166" s="18"/>
    </row>
    <row r="167" spans="2:23" x14ac:dyDescent="0.3">
      <c r="B167" s="16"/>
      <c r="F167" s="1"/>
    </row>
    <row r="168" spans="2:23" x14ac:dyDescent="0.3">
      <c r="B168" s="16"/>
    </row>
    <row r="169" spans="2:23" x14ac:dyDescent="0.3">
      <c r="B169" s="16"/>
    </row>
    <row r="170" spans="2:23" x14ac:dyDescent="0.3">
      <c r="B170" s="16"/>
    </row>
    <row r="171" spans="2:23" x14ac:dyDescent="0.3">
      <c r="B171" s="16"/>
    </row>
    <row r="172" spans="2:23" x14ac:dyDescent="0.3">
      <c r="B172" s="16"/>
    </row>
    <row r="173" spans="2:23" ht="15" thickBot="1" x14ac:dyDescent="0.35">
      <c r="B173" s="19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9" spans="3:7" ht="18" x14ac:dyDescent="0.35">
      <c r="C179" s="55" t="s">
        <v>109</v>
      </c>
      <c r="D179" s="56"/>
      <c r="E179" s="57" t="s">
        <v>110</v>
      </c>
      <c r="F179" s="57"/>
      <c r="G179" s="57"/>
    </row>
    <row r="180" spans="3:7" ht="42" customHeight="1" x14ac:dyDescent="0.35">
      <c r="C180" s="55" t="s">
        <v>111</v>
      </c>
      <c r="D180" s="58"/>
      <c r="E180" s="61"/>
      <c r="F180" s="59"/>
      <c r="G180" s="59"/>
    </row>
    <row r="181" spans="3:7" ht="18" x14ac:dyDescent="0.35">
      <c r="C181" s="55" t="s">
        <v>112</v>
      </c>
      <c r="D181" s="56"/>
      <c r="E181" s="59" t="s">
        <v>113</v>
      </c>
      <c r="F181" s="59"/>
      <c r="G181" s="59"/>
    </row>
    <row r="182" spans="3:7" ht="18" x14ac:dyDescent="0.35">
      <c r="C182" s="55" t="s">
        <v>114</v>
      </c>
      <c r="D182" s="60"/>
      <c r="E182" s="59" t="s">
        <v>115</v>
      </c>
      <c r="F182" s="60"/>
      <c r="G182" s="60"/>
    </row>
  </sheetData>
  <mergeCells count="12">
    <mergeCell ref="B2:V2"/>
    <mergeCell ref="B3:X3"/>
    <mergeCell ref="C75:W75"/>
    <mergeCell ref="C109:W109"/>
    <mergeCell ref="C143:W143"/>
    <mergeCell ref="C7:W7"/>
    <mergeCell ref="C6:W6"/>
    <mergeCell ref="C41:W41"/>
    <mergeCell ref="X7:AR7"/>
    <mergeCell ref="X41:AR41"/>
    <mergeCell ref="X75:AR75"/>
    <mergeCell ref="X109:AR109"/>
  </mergeCells>
  <phoneticPr fontId="2" type="noConversion"/>
  <pageMargins left="0.7" right="0.7" top="0.75" bottom="0.75" header="0.3" footer="0.3"/>
  <pageSetup paperSize="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9AF1-FE45-4102-93DF-577BC50700D3}">
  <dimension ref="A2:D18"/>
  <sheetViews>
    <sheetView topLeftCell="A7" workbookViewId="0">
      <selection activeCell="A4" sqref="A4:D7"/>
    </sheetView>
  </sheetViews>
  <sheetFormatPr defaultRowHeight="14.4" x14ac:dyDescent="0.3"/>
  <cols>
    <col min="1" max="1" width="11.6640625" customWidth="1"/>
    <col min="4" max="4" width="12.44140625" customWidth="1"/>
  </cols>
  <sheetData>
    <row r="2" spans="1:4" x14ac:dyDescent="0.3">
      <c r="A2" t="s">
        <v>116</v>
      </c>
      <c r="B2" s="24" t="s">
        <v>117</v>
      </c>
    </row>
    <row r="4" spans="1:4" ht="15" customHeight="1" x14ac:dyDescent="0.3">
      <c r="A4" s="26"/>
    </row>
    <row r="5" spans="1:4" ht="15" customHeight="1" x14ac:dyDescent="0.3">
      <c r="A5" s="26"/>
      <c r="B5" s="26"/>
      <c r="D5" s="26"/>
    </row>
    <row r="6" spans="1:4" ht="15" customHeight="1" x14ac:dyDescent="0.3">
      <c r="B6" s="26"/>
      <c r="C6" s="26"/>
    </row>
    <row r="7" spans="1:4" ht="15.6" x14ac:dyDescent="0.3">
      <c r="A7" s="11" t="s">
        <v>59</v>
      </c>
      <c r="B7" s="27"/>
      <c r="C7" s="27"/>
      <c r="D7" s="27"/>
    </row>
    <row r="8" spans="1:4" ht="15.6" x14ac:dyDescent="0.3">
      <c r="A8" s="4" t="s">
        <v>60</v>
      </c>
      <c r="B8" s="25"/>
      <c r="C8" s="25"/>
      <c r="D8" s="25"/>
    </row>
    <row r="9" spans="1:4" ht="15.6" x14ac:dyDescent="0.3">
      <c r="A9" s="4" t="s">
        <v>61</v>
      </c>
      <c r="B9" s="25"/>
      <c r="C9" s="25"/>
      <c r="D9" s="25"/>
    </row>
    <row r="10" spans="1:4" ht="15.6" x14ac:dyDescent="0.3">
      <c r="A10" s="4" t="s">
        <v>62</v>
      </c>
      <c r="B10" s="25"/>
      <c r="C10" s="25"/>
      <c r="D10" s="25"/>
    </row>
    <row r="11" spans="1:4" ht="15.6" x14ac:dyDescent="0.3">
      <c r="A11" s="4" t="s">
        <v>63</v>
      </c>
      <c r="B11" s="25"/>
      <c r="C11" s="25"/>
      <c r="D11" s="25"/>
    </row>
    <row r="12" spans="1:4" ht="15.6" x14ac:dyDescent="0.3">
      <c r="A12" s="4" t="s">
        <v>64</v>
      </c>
      <c r="B12" s="25"/>
      <c r="C12" s="25"/>
      <c r="D12" s="25"/>
    </row>
    <row r="13" spans="1:4" ht="15.6" x14ac:dyDescent="0.3">
      <c r="A13" s="4" t="s">
        <v>65</v>
      </c>
      <c r="B13" s="25"/>
      <c r="C13" s="25"/>
      <c r="D13" s="25"/>
    </row>
    <row r="14" spans="1:4" ht="15.6" x14ac:dyDescent="0.3">
      <c r="A14" s="4" t="s">
        <v>66</v>
      </c>
      <c r="B14" s="25"/>
      <c r="C14" s="25"/>
      <c r="D14" s="25"/>
    </row>
    <row r="15" spans="1:4" ht="15.6" x14ac:dyDescent="0.3">
      <c r="A15" s="4" t="s">
        <v>67</v>
      </c>
      <c r="B15" s="25"/>
      <c r="C15" s="25"/>
      <c r="D15" s="25"/>
    </row>
    <row r="16" spans="1:4" ht="15.6" x14ac:dyDescent="0.3">
      <c r="A16" s="4" t="s">
        <v>68</v>
      </c>
      <c r="B16" s="25"/>
      <c r="C16" s="25"/>
      <c r="D16" s="25"/>
    </row>
    <row r="17" spans="1:4" ht="15.6" x14ac:dyDescent="0.3">
      <c r="A17" s="4" t="s">
        <v>69</v>
      </c>
      <c r="B17" s="25"/>
      <c r="C17" s="25"/>
      <c r="D17" s="25"/>
    </row>
    <row r="18" spans="1:4" ht="15.6" x14ac:dyDescent="0.3">
      <c r="A18" s="4" t="s">
        <v>70</v>
      </c>
      <c r="B18" s="25"/>
      <c r="C18" s="25"/>
      <c r="D18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B792-2C8A-436D-BF66-D5A21B711299}">
  <dimension ref="B2:AU252"/>
  <sheetViews>
    <sheetView topLeftCell="C216" zoomScale="50" zoomScaleNormal="50" workbookViewId="0">
      <selection activeCell="D231" sqref="D231"/>
    </sheetView>
  </sheetViews>
  <sheetFormatPr defaultRowHeight="14.4" x14ac:dyDescent="0.3"/>
  <cols>
    <col min="3" max="3" width="25.5546875" bestFit="1" customWidth="1"/>
    <col min="4" max="4" width="12.5546875" customWidth="1"/>
    <col min="5" max="6" width="11.88671875" customWidth="1"/>
    <col min="8" max="8" width="14.109375" customWidth="1"/>
    <col min="9" max="9" width="12.44140625" customWidth="1"/>
    <col min="10" max="11" width="12.5546875" customWidth="1"/>
    <col min="12" max="12" width="11.109375" customWidth="1"/>
    <col min="13" max="13" width="12" customWidth="1"/>
    <col min="14" max="14" width="14.5546875" customWidth="1"/>
    <col min="15" max="15" width="12.5546875" customWidth="1"/>
    <col min="16" max="16" width="13.109375" customWidth="1"/>
    <col min="17" max="17" width="12.88671875" customWidth="1"/>
    <col min="19" max="19" width="12.5546875" customWidth="1"/>
    <col min="20" max="20" width="11.88671875" customWidth="1"/>
    <col min="21" max="21" width="11.109375" customWidth="1"/>
    <col min="22" max="22" width="11.88671875" customWidth="1"/>
    <col min="23" max="23" width="12.88671875" customWidth="1"/>
    <col min="24" max="24" width="14.6640625" customWidth="1"/>
    <col min="25" max="25" width="14.5546875" customWidth="1"/>
    <col min="26" max="26" width="15.88671875" customWidth="1"/>
    <col min="27" max="27" width="14.109375" customWidth="1"/>
    <col min="28" max="28" width="15.33203125" customWidth="1"/>
    <col min="29" max="29" width="16.109375" customWidth="1"/>
    <col min="30" max="30" width="16.44140625" customWidth="1"/>
    <col min="31" max="31" width="14.5546875" customWidth="1"/>
    <col min="32" max="32" width="16.109375" customWidth="1"/>
    <col min="33" max="33" width="16.44140625" customWidth="1"/>
    <col min="34" max="34" width="13.5546875" customWidth="1"/>
    <col min="35" max="35" width="13.88671875" customWidth="1"/>
    <col min="36" max="36" width="12.6640625" customWidth="1"/>
    <col min="37" max="37" width="13.44140625" customWidth="1"/>
    <col min="38" max="38" width="12.88671875" customWidth="1"/>
    <col min="39" max="39" width="12.33203125" customWidth="1"/>
    <col min="40" max="40" width="12.88671875" customWidth="1"/>
    <col min="41" max="41" width="13.5546875" customWidth="1"/>
  </cols>
  <sheetData>
    <row r="2" spans="2:47" ht="25.8" x14ac:dyDescent="0.5">
      <c r="B2" s="64" t="s">
        <v>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</row>
    <row r="3" spans="2:47" ht="21" x14ac:dyDescent="0.4">
      <c r="B3" s="65" t="s">
        <v>118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 t="s">
        <v>118</v>
      </c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</row>
    <row r="4" spans="2:47" ht="15" thickBot="1" x14ac:dyDescent="0.35"/>
    <row r="5" spans="2:47" x14ac:dyDescent="0.3"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2:47" ht="25.8" x14ac:dyDescent="0.5">
      <c r="B6" s="16"/>
      <c r="C6" s="64" t="s">
        <v>0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</row>
    <row r="7" spans="2:47" ht="21" x14ac:dyDescent="0.4">
      <c r="B7" s="16"/>
      <c r="C7" s="65" t="s">
        <v>119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</row>
    <row r="8" spans="2:47" ht="26.4" thickBot="1" x14ac:dyDescent="0.55000000000000004">
      <c r="B8" s="16"/>
      <c r="C8" s="17" t="s">
        <v>120</v>
      </c>
      <c r="D8" s="18"/>
      <c r="E8" s="18"/>
    </row>
    <row r="9" spans="2:47" ht="16.2" thickBot="1" x14ac:dyDescent="0.35">
      <c r="B9" s="16"/>
      <c r="C9" s="8" t="s">
        <v>121</v>
      </c>
      <c r="D9" s="9" t="s">
        <v>5</v>
      </c>
      <c r="E9" s="10" t="s">
        <v>6</v>
      </c>
      <c r="F9" s="1"/>
    </row>
    <row r="10" spans="2:47" ht="21" x14ac:dyDescent="0.4">
      <c r="B10" s="16"/>
      <c r="C10" s="11" t="s">
        <v>7</v>
      </c>
      <c r="D10" s="11" t="s">
        <v>8</v>
      </c>
      <c r="E10" s="11" t="s">
        <v>8</v>
      </c>
      <c r="G10" s="5" t="s">
        <v>9</v>
      </c>
      <c r="H10" s="6" t="s">
        <v>10</v>
      </c>
      <c r="I10" s="6" t="s">
        <v>11</v>
      </c>
      <c r="J10" s="6" t="s">
        <v>12</v>
      </c>
      <c r="K10" s="6" t="s">
        <v>13</v>
      </c>
      <c r="L10" s="6" t="s">
        <v>14</v>
      </c>
      <c r="M10" s="6" t="s">
        <v>15</v>
      </c>
      <c r="N10" s="6" t="s">
        <v>16</v>
      </c>
      <c r="O10" s="6" t="s">
        <v>17</v>
      </c>
      <c r="P10" s="6" t="s">
        <v>18</v>
      </c>
      <c r="Q10" s="6" t="s">
        <v>19</v>
      </c>
      <c r="R10" s="6" t="s">
        <v>20</v>
      </c>
      <c r="S10" s="6" t="s">
        <v>21</v>
      </c>
      <c r="T10" s="6" t="s">
        <v>22</v>
      </c>
      <c r="U10" s="6" t="s">
        <v>23</v>
      </c>
      <c r="V10" s="6" t="s">
        <v>24</v>
      </c>
      <c r="W10" s="28" t="s">
        <v>25</v>
      </c>
      <c r="X10" s="6" t="s">
        <v>26</v>
      </c>
      <c r="Y10" s="6" t="s">
        <v>27</v>
      </c>
      <c r="Z10" s="6" t="s">
        <v>28</v>
      </c>
      <c r="AA10" s="6" t="s">
        <v>29</v>
      </c>
      <c r="AB10" s="6" t="s">
        <v>30</v>
      </c>
      <c r="AC10" s="6" t="s">
        <v>31</v>
      </c>
      <c r="AD10" s="6" t="s">
        <v>32</v>
      </c>
      <c r="AE10" s="6" t="s">
        <v>33</v>
      </c>
      <c r="AF10" s="6" t="s">
        <v>34</v>
      </c>
      <c r="AG10" s="6" t="s">
        <v>35</v>
      </c>
      <c r="AH10" s="6" t="s">
        <v>36</v>
      </c>
      <c r="AI10" s="6" t="s">
        <v>37</v>
      </c>
      <c r="AJ10" s="6" t="s">
        <v>38</v>
      </c>
      <c r="AK10" s="6" t="s">
        <v>39</v>
      </c>
      <c r="AL10" s="6" t="s">
        <v>40</v>
      </c>
      <c r="AM10" s="6" t="s">
        <v>41</v>
      </c>
      <c r="AN10" s="6" t="s">
        <v>42</v>
      </c>
      <c r="AO10" s="6" t="s">
        <v>43</v>
      </c>
    </row>
    <row r="11" spans="2:47" ht="21" x14ac:dyDescent="0.4">
      <c r="B11" s="16"/>
      <c r="C11" s="4" t="s">
        <v>44</v>
      </c>
      <c r="D11" s="4" t="s">
        <v>122</v>
      </c>
      <c r="E11" s="4" t="s">
        <v>123</v>
      </c>
      <c r="G11" s="5" t="s">
        <v>47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29">
        <v>0</v>
      </c>
      <c r="X11" s="7">
        <v>0</v>
      </c>
      <c r="Y11" s="7">
        <v>0</v>
      </c>
      <c r="Z11" s="7">
        <v>0</v>
      </c>
      <c r="AA11" s="7">
        <v>65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20</v>
      </c>
      <c r="AL11" s="7">
        <v>0</v>
      </c>
      <c r="AM11" s="7">
        <v>0</v>
      </c>
      <c r="AN11" s="7">
        <v>0</v>
      </c>
      <c r="AO11" s="7">
        <v>0</v>
      </c>
    </row>
    <row r="12" spans="2:47" ht="21" x14ac:dyDescent="0.4">
      <c r="B12" s="16"/>
      <c r="C12" s="4" t="s">
        <v>48</v>
      </c>
      <c r="D12" s="4" t="s">
        <v>124</v>
      </c>
      <c r="E12" s="4" t="s">
        <v>125</v>
      </c>
      <c r="G12" s="5" t="s">
        <v>49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29">
        <v>0</v>
      </c>
      <c r="X12" s="7">
        <v>0</v>
      </c>
      <c r="Y12" s="7">
        <v>0</v>
      </c>
      <c r="Z12" s="7">
        <v>0</v>
      </c>
      <c r="AA12" s="7">
        <v>25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30</v>
      </c>
      <c r="AL12" s="7">
        <v>0</v>
      </c>
      <c r="AM12" s="7">
        <v>0</v>
      </c>
      <c r="AN12" s="7">
        <v>0</v>
      </c>
      <c r="AO12" s="7">
        <v>0</v>
      </c>
    </row>
    <row r="13" spans="2:47" ht="15.6" x14ac:dyDescent="0.3">
      <c r="B13" s="16"/>
      <c r="C13" s="4" t="s">
        <v>50</v>
      </c>
      <c r="D13" s="23">
        <v>45629</v>
      </c>
      <c r="E13" s="23">
        <v>45629</v>
      </c>
    </row>
    <row r="14" spans="2:47" ht="15.6" x14ac:dyDescent="0.3">
      <c r="B14" s="16"/>
      <c r="C14" s="4" t="s">
        <v>51</v>
      </c>
      <c r="D14" s="4" t="s">
        <v>126</v>
      </c>
      <c r="E14" s="4" t="s">
        <v>127</v>
      </c>
    </row>
    <row r="15" spans="2:47" ht="15.6" x14ac:dyDescent="0.3">
      <c r="B15" s="16"/>
      <c r="C15" s="4" t="s">
        <v>54</v>
      </c>
      <c r="D15" s="4" t="s">
        <v>128</v>
      </c>
      <c r="E15" s="12" t="s">
        <v>129</v>
      </c>
      <c r="F15" s="2"/>
    </row>
    <row r="16" spans="2:47" ht="15.6" x14ac:dyDescent="0.3">
      <c r="B16" s="16"/>
      <c r="C16" s="18"/>
      <c r="D16" s="18"/>
      <c r="E16" s="18"/>
      <c r="F16" s="2"/>
      <c r="X16" s="1"/>
    </row>
    <row r="17" spans="2:6" ht="15.6" x14ac:dyDescent="0.3">
      <c r="B17" s="16"/>
      <c r="C17" s="3" t="s">
        <v>57</v>
      </c>
      <c r="D17" s="3" t="s">
        <v>5</v>
      </c>
      <c r="E17" s="13" t="s">
        <v>58</v>
      </c>
      <c r="F17" s="2"/>
    </row>
    <row r="18" spans="2:6" ht="15.6" x14ac:dyDescent="0.3">
      <c r="B18" s="16"/>
      <c r="C18" s="4" t="s">
        <v>59</v>
      </c>
      <c r="D18" s="4">
        <v>0</v>
      </c>
      <c r="E18" s="12">
        <v>0</v>
      </c>
      <c r="F18" s="2"/>
    </row>
    <row r="19" spans="2:6" ht="15.6" x14ac:dyDescent="0.3">
      <c r="B19" s="16"/>
      <c r="C19" s="4" t="s">
        <v>60</v>
      </c>
      <c r="D19" s="4">
        <v>0</v>
      </c>
      <c r="E19" s="12">
        <v>0</v>
      </c>
      <c r="F19" s="2"/>
    </row>
    <row r="20" spans="2:6" ht="15.6" x14ac:dyDescent="0.3">
      <c r="B20" s="16"/>
      <c r="C20" s="4" t="s">
        <v>61</v>
      </c>
      <c r="D20" s="4">
        <v>20</v>
      </c>
      <c r="E20" s="12">
        <v>0</v>
      </c>
      <c r="F20" s="2"/>
    </row>
    <row r="21" spans="2:6" ht="15.6" x14ac:dyDescent="0.3">
      <c r="B21" s="16"/>
      <c r="C21" s="4" t="s">
        <v>62</v>
      </c>
      <c r="D21" s="4">
        <f>SUM(T11:X11)</f>
        <v>0</v>
      </c>
      <c r="E21" s="12">
        <f>SUM(T12:X12)</f>
        <v>0</v>
      </c>
      <c r="F21" s="2"/>
    </row>
    <row r="22" spans="2:6" ht="15.6" x14ac:dyDescent="0.3">
      <c r="B22" s="16"/>
      <c r="C22" s="4" t="s">
        <v>63</v>
      </c>
      <c r="D22" s="4">
        <f>SUM(Y11:AB11)</f>
        <v>65</v>
      </c>
      <c r="E22" s="4">
        <f>SUM(Y12:AB12)</f>
        <v>25</v>
      </c>
    </row>
    <row r="23" spans="2:6" ht="15.6" x14ac:dyDescent="0.3">
      <c r="B23" s="16"/>
      <c r="C23" s="4" t="s">
        <v>64</v>
      </c>
      <c r="D23" s="4">
        <f>SUM(AC11:AG11)</f>
        <v>0</v>
      </c>
      <c r="E23" s="4">
        <f>SUM(AC12:AG12)</f>
        <v>0</v>
      </c>
    </row>
    <row r="24" spans="2:6" ht="15.6" x14ac:dyDescent="0.3">
      <c r="B24" s="16"/>
      <c r="C24" s="4" t="s">
        <v>65</v>
      </c>
      <c r="D24" s="4">
        <v>20</v>
      </c>
      <c r="E24" s="4">
        <v>30</v>
      </c>
    </row>
    <row r="25" spans="2:6" ht="15.6" x14ac:dyDescent="0.3">
      <c r="B25" s="16"/>
      <c r="C25" s="4" t="s">
        <v>66</v>
      </c>
      <c r="D25" s="4">
        <v>0</v>
      </c>
      <c r="E25" s="4">
        <v>0</v>
      </c>
    </row>
    <row r="26" spans="2:6" ht="15.6" x14ac:dyDescent="0.3">
      <c r="B26" s="16"/>
      <c r="C26" s="4" t="s">
        <v>67</v>
      </c>
      <c r="D26" s="4">
        <v>0</v>
      </c>
      <c r="E26" s="4">
        <v>0</v>
      </c>
    </row>
    <row r="27" spans="2:6" ht="15.6" x14ac:dyDescent="0.3">
      <c r="B27" s="16"/>
      <c r="C27" s="4" t="s">
        <v>68</v>
      </c>
      <c r="D27" s="4">
        <v>0</v>
      </c>
      <c r="E27" s="4">
        <v>0</v>
      </c>
    </row>
    <row r="28" spans="2:6" ht="15.6" x14ac:dyDescent="0.3">
      <c r="B28" s="16"/>
      <c r="C28" s="4" t="s">
        <v>69</v>
      </c>
      <c r="D28" s="4">
        <v>0</v>
      </c>
      <c r="E28" s="4">
        <v>0</v>
      </c>
    </row>
    <row r="29" spans="2:6" ht="15.6" x14ac:dyDescent="0.3">
      <c r="B29" s="16"/>
      <c r="C29" s="4" t="s">
        <v>70</v>
      </c>
      <c r="D29" s="4">
        <v>0</v>
      </c>
      <c r="E29" s="4">
        <v>0</v>
      </c>
    </row>
    <row r="30" spans="2:6" ht="15.6" x14ac:dyDescent="0.3">
      <c r="B30" s="16"/>
      <c r="C30" s="18"/>
      <c r="D30" s="18"/>
      <c r="E30" s="18"/>
    </row>
    <row r="31" spans="2:6" x14ac:dyDescent="0.3">
      <c r="B31" s="16"/>
      <c r="F31" s="1"/>
    </row>
    <row r="32" spans="2:6" x14ac:dyDescent="0.3">
      <c r="B32" s="16"/>
    </row>
    <row r="33" spans="2:44" x14ac:dyDescent="0.3">
      <c r="B33" s="16"/>
    </row>
    <row r="34" spans="2:44" x14ac:dyDescent="0.3">
      <c r="B34" s="16"/>
    </row>
    <row r="35" spans="2:44" x14ac:dyDescent="0.3">
      <c r="B35" s="16"/>
    </row>
    <row r="36" spans="2:44" x14ac:dyDescent="0.3">
      <c r="B36" s="16"/>
    </row>
    <row r="37" spans="2:44" ht="15" thickBot="1" x14ac:dyDescent="0.35"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9" spans="2:44" ht="15" thickBot="1" x14ac:dyDescent="0.35"/>
    <row r="40" spans="2:44" x14ac:dyDescent="0.3"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2:44" ht="21" x14ac:dyDescent="0.4">
      <c r="B41" s="16"/>
      <c r="C41" s="65" t="s">
        <v>130</v>
      </c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 t="s">
        <v>130</v>
      </c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</row>
    <row r="42" spans="2:44" ht="26.4" thickBot="1" x14ac:dyDescent="0.55000000000000004">
      <c r="B42" s="16"/>
      <c r="C42" s="17" t="s">
        <v>131</v>
      </c>
      <c r="D42" s="18"/>
      <c r="E42" s="18"/>
    </row>
    <row r="43" spans="2:44" ht="16.2" thickBot="1" x14ac:dyDescent="0.35">
      <c r="B43" s="16"/>
      <c r="C43" s="8" t="s">
        <v>131</v>
      </c>
      <c r="D43" s="9" t="s">
        <v>5</v>
      </c>
      <c r="E43" s="10" t="s">
        <v>6</v>
      </c>
      <c r="F43" s="1"/>
    </row>
    <row r="44" spans="2:44" ht="21" x14ac:dyDescent="0.4">
      <c r="B44" s="16"/>
      <c r="C44" s="11" t="s">
        <v>7</v>
      </c>
      <c r="D44" s="11" t="s">
        <v>8</v>
      </c>
      <c r="E44" s="11" t="s">
        <v>8</v>
      </c>
      <c r="G44" s="5" t="s">
        <v>9</v>
      </c>
      <c r="H44" s="6" t="s">
        <v>10</v>
      </c>
      <c r="I44" s="6" t="s">
        <v>11</v>
      </c>
      <c r="J44" s="6" t="s">
        <v>12</v>
      </c>
      <c r="K44" s="6" t="s">
        <v>13</v>
      </c>
      <c r="L44" s="6" t="s">
        <v>14</v>
      </c>
      <c r="M44" s="6" t="s">
        <v>15</v>
      </c>
      <c r="N44" s="6" t="s">
        <v>16</v>
      </c>
      <c r="O44" s="6" t="s">
        <v>17</v>
      </c>
      <c r="P44" s="6" t="s">
        <v>18</v>
      </c>
      <c r="Q44" s="6" t="s">
        <v>19</v>
      </c>
      <c r="R44" s="6" t="s">
        <v>20</v>
      </c>
      <c r="S44" s="6" t="s">
        <v>21</v>
      </c>
      <c r="T44" s="6" t="s">
        <v>22</v>
      </c>
      <c r="U44" s="6" t="s">
        <v>23</v>
      </c>
      <c r="V44" s="6" t="s">
        <v>24</v>
      </c>
      <c r="W44" s="28" t="s">
        <v>25</v>
      </c>
      <c r="X44" s="6" t="s">
        <v>26</v>
      </c>
      <c r="Y44" s="6" t="s">
        <v>27</v>
      </c>
      <c r="Z44" s="6" t="s">
        <v>28</v>
      </c>
      <c r="AA44" s="6" t="s">
        <v>29</v>
      </c>
      <c r="AB44" s="6" t="s">
        <v>30</v>
      </c>
      <c r="AC44" s="6" t="s">
        <v>31</v>
      </c>
      <c r="AD44" s="6" t="s">
        <v>32</v>
      </c>
      <c r="AE44" s="6" t="s">
        <v>33</v>
      </c>
      <c r="AF44" s="6" t="s">
        <v>34</v>
      </c>
      <c r="AG44" s="6" t="s">
        <v>35</v>
      </c>
      <c r="AH44" s="6" t="s">
        <v>36</v>
      </c>
      <c r="AI44" s="6" t="s">
        <v>37</v>
      </c>
      <c r="AJ44" s="6" t="s">
        <v>38</v>
      </c>
      <c r="AK44" s="6" t="s">
        <v>39</v>
      </c>
      <c r="AL44" s="6" t="s">
        <v>40</v>
      </c>
      <c r="AM44" s="6" t="s">
        <v>41</v>
      </c>
      <c r="AN44" s="6" t="s">
        <v>42</v>
      </c>
      <c r="AO44" s="6" t="s">
        <v>43</v>
      </c>
    </row>
    <row r="45" spans="2:44" ht="21" x14ac:dyDescent="0.4">
      <c r="B45" s="16"/>
      <c r="C45" s="4" t="s">
        <v>44</v>
      </c>
      <c r="D45" s="4" t="s">
        <v>74</v>
      </c>
      <c r="E45" s="4" t="s">
        <v>75</v>
      </c>
      <c r="G45" s="5" t="s">
        <v>47</v>
      </c>
      <c r="H45" s="7">
        <v>0</v>
      </c>
      <c r="I45" s="7">
        <v>20</v>
      </c>
      <c r="J45" s="7">
        <v>9</v>
      </c>
      <c r="K45" s="7">
        <v>0</v>
      </c>
      <c r="L45" s="7">
        <v>0</v>
      </c>
      <c r="M45" s="7">
        <v>28</v>
      </c>
      <c r="N45" s="7">
        <v>0</v>
      </c>
      <c r="O45" s="7">
        <v>75</v>
      </c>
      <c r="P45" s="7">
        <v>76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29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70</v>
      </c>
      <c r="AL45" s="7">
        <v>0</v>
      </c>
      <c r="AM45" s="7">
        <v>0</v>
      </c>
      <c r="AN45" s="7">
        <v>80</v>
      </c>
      <c r="AO45" s="7">
        <v>60</v>
      </c>
    </row>
    <row r="46" spans="2:44" ht="21" x14ac:dyDescent="0.4">
      <c r="B46" s="16"/>
      <c r="C46" s="4" t="s">
        <v>48</v>
      </c>
      <c r="D46" s="4" t="s">
        <v>132</v>
      </c>
      <c r="E46" s="4" t="s">
        <v>133</v>
      </c>
      <c r="G46" s="5" t="s">
        <v>49</v>
      </c>
      <c r="H46" s="7">
        <v>0</v>
      </c>
      <c r="I46" s="7">
        <v>0</v>
      </c>
      <c r="J46" s="7">
        <v>11</v>
      </c>
      <c r="K46" s="7">
        <v>0</v>
      </c>
      <c r="L46" s="7">
        <v>0</v>
      </c>
      <c r="M46" s="7">
        <v>17</v>
      </c>
      <c r="N46" s="7">
        <v>60</v>
      </c>
      <c r="O46" s="7">
        <v>65</v>
      </c>
      <c r="P46" s="7">
        <v>64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29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30</v>
      </c>
      <c r="AL46" s="7">
        <v>0</v>
      </c>
      <c r="AM46" s="7">
        <v>0</v>
      </c>
      <c r="AN46" s="7">
        <v>40</v>
      </c>
      <c r="AO46" s="7">
        <v>15</v>
      </c>
    </row>
    <row r="47" spans="2:44" ht="15.6" x14ac:dyDescent="0.3">
      <c r="B47" s="16"/>
      <c r="C47" s="4" t="s">
        <v>50</v>
      </c>
      <c r="D47" s="23">
        <v>45575</v>
      </c>
      <c r="E47" s="23">
        <v>45575</v>
      </c>
    </row>
    <row r="48" spans="2:44" ht="15.6" x14ac:dyDescent="0.3">
      <c r="B48" s="16"/>
      <c r="C48" s="4" t="s">
        <v>51</v>
      </c>
      <c r="D48" s="4" t="s">
        <v>134</v>
      </c>
      <c r="E48" s="4" t="s">
        <v>135</v>
      </c>
    </row>
    <row r="49" spans="2:24" ht="15.6" x14ac:dyDescent="0.3">
      <c r="B49" s="16"/>
      <c r="C49" s="4" t="s">
        <v>54</v>
      </c>
      <c r="D49" s="4" t="s">
        <v>136</v>
      </c>
      <c r="E49" s="12" t="s">
        <v>137</v>
      </c>
      <c r="F49" s="2"/>
    </row>
    <row r="50" spans="2:24" ht="15.6" x14ac:dyDescent="0.3">
      <c r="B50" s="16"/>
      <c r="C50" s="18"/>
      <c r="D50" s="18"/>
      <c r="E50" s="18"/>
      <c r="F50" s="2"/>
      <c r="X50" s="1"/>
    </row>
    <row r="51" spans="2:24" ht="15.6" x14ac:dyDescent="0.3">
      <c r="B51" s="16"/>
      <c r="C51" s="3" t="s">
        <v>57</v>
      </c>
      <c r="D51" s="3" t="s">
        <v>5</v>
      </c>
      <c r="E51" s="13" t="s">
        <v>58</v>
      </c>
      <c r="F51" s="2"/>
    </row>
    <row r="52" spans="2:24" ht="15.6" x14ac:dyDescent="0.3">
      <c r="B52" s="16"/>
      <c r="C52" s="4" t="s">
        <v>59</v>
      </c>
      <c r="D52" s="4">
        <v>0</v>
      </c>
      <c r="E52" s="12">
        <v>0</v>
      </c>
      <c r="F52" s="2"/>
    </row>
    <row r="53" spans="2:24" ht="15.6" x14ac:dyDescent="0.3">
      <c r="B53" s="16"/>
      <c r="C53" s="4" t="s">
        <v>60</v>
      </c>
      <c r="D53" s="4">
        <v>0</v>
      </c>
      <c r="E53" s="12">
        <v>0</v>
      </c>
      <c r="F53" s="2"/>
    </row>
    <row r="54" spans="2:24" ht="15.6" x14ac:dyDescent="0.3">
      <c r="B54" s="16"/>
      <c r="C54" s="4" t="s">
        <v>61</v>
      </c>
      <c r="D54" s="4">
        <v>0</v>
      </c>
      <c r="E54" s="12">
        <v>0</v>
      </c>
      <c r="F54" s="2"/>
    </row>
    <row r="55" spans="2:24" ht="15.6" x14ac:dyDescent="0.3">
      <c r="B55" s="16"/>
      <c r="C55" s="4" t="s">
        <v>62</v>
      </c>
      <c r="D55" s="4">
        <v>0</v>
      </c>
      <c r="E55" s="12">
        <v>0</v>
      </c>
      <c r="F55" s="2"/>
    </row>
    <row r="56" spans="2:24" ht="15.6" x14ac:dyDescent="0.3">
      <c r="B56" s="16"/>
      <c r="C56" s="4" t="s">
        <v>63</v>
      </c>
      <c r="D56" s="4">
        <f>SUM(Y45:AB45)</f>
        <v>0</v>
      </c>
      <c r="E56" s="4">
        <f>SUM(Y46:AB46)</f>
        <v>0</v>
      </c>
    </row>
    <row r="57" spans="2:24" ht="15.6" x14ac:dyDescent="0.3">
      <c r="B57" s="16"/>
      <c r="C57" s="4" t="s">
        <v>64</v>
      </c>
      <c r="D57" s="4">
        <f>SUM(AC45:AG45)</f>
        <v>0</v>
      </c>
      <c r="E57" s="4">
        <f>SUM(AC46:AG46)</f>
        <v>0</v>
      </c>
    </row>
    <row r="58" spans="2:24" ht="15.6" x14ac:dyDescent="0.3">
      <c r="B58" s="16"/>
      <c r="C58" s="4" t="s">
        <v>65</v>
      </c>
      <c r="D58" s="4">
        <v>70</v>
      </c>
      <c r="E58" s="4">
        <v>30</v>
      </c>
    </row>
    <row r="59" spans="2:24" ht="15.6" x14ac:dyDescent="0.3">
      <c r="B59" s="16"/>
      <c r="C59" s="4" t="s">
        <v>66</v>
      </c>
      <c r="D59" s="4">
        <v>140</v>
      </c>
      <c r="E59" s="4">
        <v>55</v>
      </c>
    </row>
    <row r="60" spans="2:24" ht="15.6" x14ac:dyDescent="0.3">
      <c r="B60" s="16"/>
      <c r="C60" s="4" t="s">
        <v>67</v>
      </c>
      <c r="D60" s="4">
        <v>0</v>
      </c>
      <c r="E60" s="4">
        <v>0</v>
      </c>
    </row>
    <row r="61" spans="2:24" ht="15.6" x14ac:dyDescent="0.3">
      <c r="B61" s="16"/>
      <c r="C61" s="4" t="s">
        <v>68</v>
      </c>
      <c r="D61" s="4">
        <v>0</v>
      </c>
      <c r="E61" s="4">
        <v>0</v>
      </c>
    </row>
    <row r="62" spans="2:24" ht="15.6" x14ac:dyDescent="0.3">
      <c r="B62" s="16"/>
      <c r="C62" s="4" t="s">
        <v>69</v>
      </c>
      <c r="D62" s="4">
        <v>0</v>
      </c>
      <c r="E62" s="4">
        <v>0</v>
      </c>
    </row>
    <row r="63" spans="2:24" ht="15.6" x14ac:dyDescent="0.3">
      <c r="B63" s="16"/>
      <c r="C63" s="4" t="s">
        <v>70</v>
      </c>
      <c r="D63" s="4">
        <v>0</v>
      </c>
      <c r="E63" s="4">
        <v>0</v>
      </c>
    </row>
    <row r="64" spans="2:24" ht="15.6" x14ac:dyDescent="0.3">
      <c r="B64" s="16"/>
      <c r="C64" s="18"/>
      <c r="D64" s="18"/>
      <c r="E64" s="18"/>
    </row>
    <row r="65" spans="2:44" x14ac:dyDescent="0.3">
      <c r="B65" s="16"/>
      <c r="F65" s="1"/>
    </row>
    <row r="66" spans="2:44" x14ac:dyDescent="0.3">
      <c r="B66" s="16"/>
    </row>
    <row r="67" spans="2:44" x14ac:dyDescent="0.3">
      <c r="B67" s="16"/>
    </row>
    <row r="68" spans="2:44" x14ac:dyDescent="0.3">
      <c r="B68" s="16"/>
    </row>
    <row r="69" spans="2:44" x14ac:dyDescent="0.3">
      <c r="B69" s="16"/>
    </row>
    <row r="70" spans="2:44" x14ac:dyDescent="0.3">
      <c r="B70" s="16"/>
    </row>
    <row r="71" spans="2:44" ht="15" thickBot="1" x14ac:dyDescent="0.35">
      <c r="B71" s="19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3" spans="2:44" ht="15" thickBot="1" x14ac:dyDescent="0.35"/>
    <row r="74" spans="2:44" x14ac:dyDescent="0.3">
      <c r="B74" s="14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2:44" ht="21" x14ac:dyDescent="0.4">
      <c r="B75" s="16"/>
      <c r="C75" s="65" t="s">
        <v>138</v>
      </c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 t="s">
        <v>138</v>
      </c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</row>
    <row r="76" spans="2:44" ht="26.4" thickBot="1" x14ac:dyDescent="0.55000000000000004">
      <c r="B76" s="16"/>
      <c r="C76" s="17" t="s">
        <v>139</v>
      </c>
      <c r="D76" s="18"/>
      <c r="E76" s="18"/>
    </row>
    <row r="77" spans="2:44" ht="16.2" thickBot="1" x14ac:dyDescent="0.35">
      <c r="B77" s="16"/>
      <c r="C77" s="8" t="s">
        <v>140</v>
      </c>
      <c r="D77" s="9" t="s">
        <v>5</v>
      </c>
      <c r="E77" s="10" t="s">
        <v>6</v>
      </c>
      <c r="F77" s="1"/>
    </row>
    <row r="78" spans="2:44" ht="21" x14ac:dyDescent="0.4">
      <c r="B78" s="16"/>
      <c r="C78" s="11" t="s">
        <v>7</v>
      </c>
      <c r="D78" s="11" t="s">
        <v>8</v>
      </c>
      <c r="E78" s="11" t="s">
        <v>8</v>
      </c>
      <c r="G78" s="5" t="s">
        <v>9</v>
      </c>
      <c r="H78" s="6" t="s">
        <v>10</v>
      </c>
      <c r="I78" s="6" t="s">
        <v>11</v>
      </c>
      <c r="J78" s="6" t="s">
        <v>12</v>
      </c>
      <c r="K78" s="6" t="s">
        <v>13</v>
      </c>
      <c r="L78" s="6" t="s">
        <v>14</v>
      </c>
      <c r="M78" s="6" t="s">
        <v>15</v>
      </c>
      <c r="N78" s="6" t="s">
        <v>16</v>
      </c>
      <c r="O78" s="6" t="s">
        <v>17</v>
      </c>
      <c r="P78" s="6" t="s">
        <v>18</v>
      </c>
      <c r="Q78" s="6" t="s">
        <v>19</v>
      </c>
      <c r="R78" s="6" t="s">
        <v>20</v>
      </c>
      <c r="S78" s="6" t="s">
        <v>21</v>
      </c>
      <c r="T78" s="6" t="s">
        <v>22</v>
      </c>
      <c r="U78" s="6" t="s">
        <v>23</v>
      </c>
      <c r="V78" s="6" t="s">
        <v>24</v>
      </c>
      <c r="W78" s="28" t="s">
        <v>25</v>
      </c>
      <c r="X78" s="6" t="s">
        <v>26</v>
      </c>
      <c r="Y78" s="6" t="s">
        <v>27</v>
      </c>
      <c r="Z78" s="6" t="s">
        <v>28</v>
      </c>
      <c r="AA78" s="6" t="s">
        <v>29</v>
      </c>
      <c r="AB78" s="6" t="s">
        <v>30</v>
      </c>
      <c r="AC78" s="6" t="s">
        <v>31</v>
      </c>
      <c r="AD78" s="6" t="s">
        <v>32</v>
      </c>
      <c r="AE78" s="6" t="s">
        <v>33</v>
      </c>
      <c r="AF78" s="6" t="s">
        <v>34</v>
      </c>
      <c r="AG78" s="6" t="s">
        <v>35</v>
      </c>
      <c r="AH78" s="6" t="s">
        <v>36</v>
      </c>
      <c r="AI78" s="6" t="s">
        <v>37</v>
      </c>
      <c r="AJ78" s="6" t="s">
        <v>38</v>
      </c>
      <c r="AK78" s="6" t="s">
        <v>39</v>
      </c>
      <c r="AL78" s="6" t="s">
        <v>40</v>
      </c>
      <c r="AM78" s="6" t="s">
        <v>41</v>
      </c>
      <c r="AN78" s="6" t="s">
        <v>42</v>
      </c>
      <c r="AO78" s="6" t="s">
        <v>43</v>
      </c>
    </row>
    <row r="79" spans="2:44" ht="21" x14ac:dyDescent="0.4">
      <c r="B79" s="16"/>
      <c r="C79" s="4" t="s">
        <v>44</v>
      </c>
      <c r="D79" s="4" t="s">
        <v>74</v>
      </c>
      <c r="E79" s="4" t="s">
        <v>75</v>
      </c>
      <c r="G79" s="5" t="s">
        <v>47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6</v>
      </c>
      <c r="N79" s="7">
        <v>4</v>
      </c>
      <c r="O79" s="7">
        <v>11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29">
        <v>0</v>
      </c>
      <c r="X79" s="7">
        <v>0</v>
      </c>
      <c r="Y79" s="7">
        <v>5</v>
      </c>
      <c r="Z79" s="7">
        <v>4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11</v>
      </c>
      <c r="AG79" s="7">
        <v>0</v>
      </c>
      <c r="AH79" s="7">
        <v>0</v>
      </c>
      <c r="AI79" s="7">
        <v>0</v>
      </c>
      <c r="AJ79" s="7">
        <v>8</v>
      </c>
      <c r="AK79" s="7">
        <v>0</v>
      </c>
      <c r="AL79" s="7">
        <v>0</v>
      </c>
      <c r="AM79" s="7">
        <v>25</v>
      </c>
      <c r="AN79" s="7">
        <v>0</v>
      </c>
      <c r="AO79" s="7">
        <v>0</v>
      </c>
    </row>
    <row r="80" spans="2:44" ht="21" x14ac:dyDescent="0.4">
      <c r="B80" s="16"/>
      <c r="C80" s="4" t="s">
        <v>48</v>
      </c>
      <c r="D80" s="4" t="s">
        <v>141</v>
      </c>
      <c r="E80" s="4" t="s">
        <v>142</v>
      </c>
      <c r="G80" s="5" t="s">
        <v>49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5</v>
      </c>
      <c r="N80" s="7">
        <v>0</v>
      </c>
      <c r="O80" s="7">
        <v>4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29">
        <v>0</v>
      </c>
      <c r="X80" s="7">
        <v>0</v>
      </c>
      <c r="Y80" s="7">
        <v>9</v>
      </c>
      <c r="Z80" s="7">
        <v>3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12</v>
      </c>
      <c r="AG80" s="7">
        <v>0</v>
      </c>
      <c r="AH80" s="7">
        <v>0</v>
      </c>
      <c r="AI80" s="7">
        <v>0</v>
      </c>
      <c r="AJ80" s="7">
        <v>5</v>
      </c>
      <c r="AK80" s="7">
        <v>0</v>
      </c>
      <c r="AL80" s="7">
        <v>0</v>
      </c>
      <c r="AM80" s="7">
        <v>25</v>
      </c>
      <c r="AN80" s="7">
        <v>0</v>
      </c>
      <c r="AO80" s="7">
        <v>0</v>
      </c>
    </row>
    <row r="81" spans="2:24" ht="15.6" x14ac:dyDescent="0.3">
      <c r="B81" s="16"/>
      <c r="C81" s="4" t="s">
        <v>50</v>
      </c>
      <c r="D81" s="4" t="s">
        <v>143</v>
      </c>
      <c r="E81" s="4" t="s">
        <v>143</v>
      </c>
    </row>
    <row r="82" spans="2:24" ht="15.6" x14ac:dyDescent="0.3">
      <c r="B82" s="16"/>
      <c r="C82" s="4" t="s">
        <v>51</v>
      </c>
      <c r="D82" s="4" t="s">
        <v>144</v>
      </c>
      <c r="E82" s="4" t="s">
        <v>145</v>
      </c>
    </row>
    <row r="83" spans="2:24" ht="15.6" x14ac:dyDescent="0.3">
      <c r="B83" s="16"/>
      <c r="C83" s="4" t="s">
        <v>54</v>
      </c>
      <c r="D83" s="4" t="s">
        <v>146</v>
      </c>
      <c r="E83" s="12" t="s">
        <v>147</v>
      </c>
      <c r="F83" s="2"/>
    </row>
    <row r="84" spans="2:24" ht="15.6" x14ac:dyDescent="0.3">
      <c r="B84" s="16"/>
      <c r="C84" s="18"/>
      <c r="D84" s="18"/>
      <c r="E84" s="18"/>
      <c r="F84" s="2"/>
      <c r="X84" s="1"/>
    </row>
    <row r="85" spans="2:24" ht="15.6" x14ac:dyDescent="0.3">
      <c r="B85" s="16"/>
      <c r="C85" s="3" t="s">
        <v>57</v>
      </c>
      <c r="D85" s="3" t="s">
        <v>5</v>
      </c>
      <c r="E85" s="13" t="s">
        <v>58</v>
      </c>
      <c r="F85" s="2"/>
    </row>
    <row r="86" spans="2:24" ht="15.6" x14ac:dyDescent="0.3">
      <c r="B86" s="16"/>
      <c r="C86" s="4" t="s">
        <v>59</v>
      </c>
      <c r="D86" s="4">
        <v>0</v>
      </c>
      <c r="E86" s="12">
        <v>0</v>
      </c>
      <c r="F86" s="2"/>
    </row>
    <row r="87" spans="2:24" ht="15.6" x14ac:dyDescent="0.3">
      <c r="B87" s="16"/>
      <c r="C87" s="4" t="s">
        <v>60</v>
      </c>
      <c r="D87" s="4">
        <v>0</v>
      </c>
      <c r="E87" s="12">
        <v>0</v>
      </c>
      <c r="F87" s="2"/>
    </row>
    <row r="88" spans="2:24" ht="15.6" x14ac:dyDescent="0.3">
      <c r="B88" s="16"/>
      <c r="C88" s="4" t="s">
        <v>61</v>
      </c>
      <c r="D88" s="4">
        <v>0</v>
      </c>
      <c r="E88" s="12">
        <v>0</v>
      </c>
      <c r="F88" s="2"/>
    </row>
    <row r="89" spans="2:24" ht="15.6" x14ac:dyDescent="0.3">
      <c r="B89" s="16"/>
      <c r="C89" s="4" t="s">
        <v>62</v>
      </c>
      <c r="D89" s="4">
        <v>0</v>
      </c>
      <c r="E89" s="12">
        <v>0</v>
      </c>
      <c r="F89" s="2"/>
    </row>
    <row r="90" spans="2:24" ht="15.6" x14ac:dyDescent="0.3">
      <c r="B90" s="16"/>
      <c r="C90" s="4" t="s">
        <v>63</v>
      </c>
      <c r="D90" s="4">
        <f>SUM(Y79:AB79)</f>
        <v>9</v>
      </c>
      <c r="E90" s="4">
        <f>SUM(Y80:AB80)</f>
        <v>12</v>
      </c>
    </row>
    <row r="91" spans="2:24" ht="15.6" x14ac:dyDescent="0.3">
      <c r="B91" s="16"/>
      <c r="C91" s="4" t="s">
        <v>64</v>
      </c>
      <c r="D91" s="4">
        <f>SUM(AC79:AG79)</f>
        <v>11</v>
      </c>
      <c r="E91" s="4">
        <f>SUM(AC80:AG80)</f>
        <v>12</v>
      </c>
    </row>
    <row r="92" spans="2:24" ht="15.6" x14ac:dyDescent="0.3">
      <c r="B92" s="16"/>
      <c r="C92" s="4" t="s">
        <v>65</v>
      </c>
      <c r="D92" s="4">
        <v>8</v>
      </c>
      <c r="E92" s="4">
        <v>5</v>
      </c>
    </row>
    <row r="93" spans="2:24" ht="15.6" x14ac:dyDescent="0.3">
      <c r="B93" s="16"/>
      <c r="C93" s="4" t="s">
        <v>66</v>
      </c>
      <c r="D93" s="4">
        <v>25</v>
      </c>
      <c r="E93" s="4">
        <v>25</v>
      </c>
    </row>
    <row r="94" spans="2:24" ht="15.6" x14ac:dyDescent="0.3">
      <c r="B94" s="16"/>
      <c r="C94" s="4" t="s">
        <v>67</v>
      </c>
      <c r="D94" s="4">
        <v>0</v>
      </c>
      <c r="E94" s="4">
        <v>0</v>
      </c>
    </row>
    <row r="95" spans="2:24" ht="15.6" x14ac:dyDescent="0.3">
      <c r="B95" s="16"/>
      <c r="C95" s="4" t="s">
        <v>68</v>
      </c>
      <c r="D95" s="4">
        <v>0</v>
      </c>
      <c r="E95" s="4">
        <v>0</v>
      </c>
    </row>
    <row r="96" spans="2:24" ht="15.6" x14ac:dyDescent="0.3">
      <c r="B96" s="16"/>
      <c r="C96" s="4" t="s">
        <v>69</v>
      </c>
      <c r="D96" s="4">
        <v>0</v>
      </c>
      <c r="E96" s="4">
        <v>0</v>
      </c>
    </row>
    <row r="97" spans="2:41" ht="15.6" x14ac:dyDescent="0.3">
      <c r="B97" s="16"/>
      <c r="C97" s="4" t="s">
        <v>70</v>
      </c>
      <c r="D97" s="4">
        <v>0</v>
      </c>
      <c r="E97" s="4">
        <v>0</v>
      </c>
    </row>
    <row r="98" spans="2:41" ht="15.6" x14ac:dyDescent="0.3">
      <c r="B98" s="16"/>
      <c r="C98" s="18"/>
      <c r="D98" s="18"/>
      <c r="E98" s="18"/>
    </row>
    <row r="99" spans="2:41" x14ac:dyDescent="0.3">
      <c r="B99" s="16"/>
      <c r="F99" s="1"/>
    </row>
    <row r="100" spans="2:41" x14ac:dyDescent="0.3">
      <c r="B100" s="16"/>
    </row>
    <row r="101" spans="2:41" x14ac:dyDescent="0.3">
      <c r="B101" s="16"/>
    </row>
    <row r="102" spans="2:41" x14ac:dyDescent="0.3">
      <c r="B102" s="16"/>
    </row>
    <row r="103" spans="2:41" x14ac:dyDescent="0.3">
      <c r="B103" s="16"/>
    </row>
    <row r="104" spans="2:41" x14ac:dyDescent="0.3">
      <c r="B104" s="16"/>
    </row>
    <row r="105" spans="2:41" ht="15" thickBot="1" x14ac:dyDescent="0.35">
      <c r="B105" s="19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7" spans="2:41" ht="15" thickBot="1" x14ac:dyDescent="0.35"/>
    <row r="108" spans="2:41" x14ac:dyDescent="0.3">
      <c r="B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2:41" ht="21" x14ac:dyDescent="0.4">
      <c r="B109" s="16"/>
      <c r="C109" s="65" t="s">
        <v>148</v>
      </c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</row>
    <row r="110" spans="2:41" ht="26.4" thickBot="1" x14ac:dyDescent="0.55000000000000004">
      <c r="B110" s="16"/>
      <c r="C110" s="17" t="s">
        <v>149</v>
      </c>
      <c r="D110" s="18"/>
      <c r="E110" s="18"/>
    </row>
    <row r="111" spans="2:41" ht="16.2" thickBot="1" x14ac:dyDescent="0.35">
      <c r="B111" s="16"/>
      <c r="C111" s="8" t="s">
        <v>149</v>
      </c>
      <c r="D111" s="9" t="s">
        <v>5</v>
      </c>
      <c r="E111" s="10" t="s">
        <v>6</v>
      </c>
      <c r="F111" s="1"/>
    </row>
    <row r="112" spans="2:41" ht="21" x14ac:dyDescent="0.4">
      <c r="B112" s="16"/>
      <c r="C112" s="11" t="s">
        <v>7</v>
      </c>
      <c r="D112" s="11" t="s">
        <v>8</v>
      </c>
      <c r="E112" s="11" t="s">
        <v>8</v>
      </c>
      <c r="G112" s="5" t="s">
        <v>9</v>
      </c>
      <c r="H112" s="6" t="s">
        <v>10</v>
      </c>
      <c r="I112" s="6" t="s">
        <v>11</v>
      </c>
      <c r="J112" s="6" t="s">
        <v>12</v>
      </c>
      <c r="K112" s="6" t="s">
        <v>13</v>
      </c>
      <c r="L112" s="6" t="s">
        <v>14</v>
      </c>
      <c r="M112" s="6" t="s">
        <v>15</v>
      </c>
      <c r="N112" s="6" t="s">
        <v>16</v>
      </c>
      <c r="O112" s="6" t="s">
        <v>17</v>
      </c>
      <c r="P112" s="6" t="s">
        <v>18</v>
      </c>
      <c r="Q112" s="6" t="s">
        <v>19</v>
      </c>
      <c r="R112" s="6" t="s">
        <v>20</v>
      </c>
      <c r="S112" s="6" t="s">
        <v>21</v>
      </c>
      <c r="T112" s="6" t="s">
        <v>22</v>
      </c>
      <c r="U112" s="6" t="s">
        <v>23</v>
      </c>
      <c r="V112" s="6" t="s">
        <v>24</v>
      </c>
      <c r="W112" s="28" t="s">
        <v>25</v>
      </c>
      <c r="X112" s="6" t="s">
        <v>26</v>
      </c>
      <c r="Y112" s="6" t="s">
        <v>27</v>
      </c>
      <c r="Z112" s="6" t="s">
        <v>28</v>
      </c>
      <c r="AA112" s="6" t="s">
        <v>29</v>
      </c>
      <c r="AB112" s="6" t="s">
        <v>30</v>
      </c>
      <c r="AC112" s="6" t="s">
        <v>31</v>
      </c>
      <c r="AD112" s="6" t="s">
        <v>32</v>
      </c>
      <c r="AE112" s="6" t="s">
        <v>33</v>
      </c>
      <c r="AF112" s="6" t="s">
        <v>34</v>
      </c>
      <c r="AG112" s="6" t="s">
        <v>35</v>
      </c>
      <c r="AH112" s="6" t="s">
        <v>36</v>
      </c>
      <c r="AI112" s="6" t="s">
        <v>37</v>
      </c>
      <c r="AJ112" s="6" t="s">
        <v>38</v>
      </c>
      <c r="AK112" s="6" t="s">
        <v>39</v>
      </c>
      <c r="AL112" s="6" t="s">
        <v>40</v>
      </c>
      <c r="AM112" s="6" t="s">
        <v>41</v>
      </c>
      <c r="AN112" s="6" t="s">
        <v>42</v>
      </c>
      <c r="AO112" s="6" t="s">
        <v>43</v>
      </c>
    </row>
    <row r="113" spans="2:41" ht="21" x14ac:dyDescent="0.4">
      <c r="B113" s="16"/>
      <c r="C113" s="4" t="s">
        <v>44</v>
      </c>
      <c r="D113" s="4" t="s">
        <v>150</v>
      </c>
      <c r="E113" s="4" t="s">
        <v>151</v>
      </c>
      <c r="G113" s="5" t="s">
        <v>47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f>70+20</f>
        <v>90</v>
      </c>
      <c r="P113" s="7">
        <v>80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29">
        <v>0</v>
      </c>
      <c r="X113" s="7">
        <v>0</v>
      </c>
      <c r="Y113" s="7">
        <v>5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28</v>
      </c>
      <c r="AK113" s="7">
        <v>0</v>
      </c>
      <c r="AL113" s="7">
        <v>50</v>
      </c>
      <c r="AM113" s="7">
        <v>32</v>
      </c>
      <c r="AN113" s="7">
        <v>0</v>
      </c>
      <c r="AO113" s="7">
        <v>75</v>
      </c>
    </row>
    <row r="114" spans="2:41" ht="21" x14ac:dyDescent="0.4">
      <c r="B114" s="16"/>
      <c r="C114" s="4" t="s">
        <v>48</v>
      </c>
      <c r="D114" s="4" t="s">
        <v>152</v>
      </c>
      <c r="E114" s="4" t="s">
        <v>153</v>
      </c>
      <c r="G114" s="5" t="s">
        <v>49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/>
      <c r="N114" s="7">
        <v>0</v>
      </c>
      <c r="O114" s="7">
        <v>100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29">
        <v>0</v>
      </c>
      <c r="X114" s="7">
        <v>0</v>
      </c>
      <c r="Y114" s="7">
        <v>6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35</v>
      </c>
      <c r="AK114" s="7">
        <v>0</v>
      </c>
      <c r="AL114" s="7">
        <v>0</v>
      </c>
      <c r="AM114" s="7">
        <v>35</v>
      </c>
      <c r="AN114" s="7">
        <v>0</v>
      </c>
      <c r="AO114" s="7">
        <v>75</v>
      </c>
    </row>
    <row r="115" spans="2:41" ht="15.6" x14ac:dyDescent="0.3">
      <c r="B115" s="16"/>
      <c r="C115" s="4" t="s">
        <v>50</v>
      </c>
      <c r="D115" s="23">
        <v>45952</v>
      </c>
      <c r="E115" s="23">
        <v>45952</v>
      </c>
    </row>
    <row r="116" spans="2:41" ht="15.6" x14ac:dyDescent="0.3">
      <c r="B116" s="16"/>
      <c r="C116" s="4" t="s">
        <v>51</v>
      </c>
      <c r="D116" s="4" t="s">
        <v>154</v>
      </c>
      <c r="E116" s="4" t="s">
        <v>155</v>
      </c>
    </row>
    <row r="117" spans="2:41" ht="15.6" x14ac:dyDescent="0.3">
      <c r="B117" s="16"/>
      <c r="C117" s="4" t="s">
        <v>54</v>
      </c>
      <c r="D117" s="4" t="s">
        <v>156</v>
      </c>
      <c r="E117" s="12" t="s">
        <v>157</v>
      </c>
      <c r="F117" s="2"/>
    </row>
    <row r="118" spans="2:41" ht="15.6" x14ac:dyDescent="0.3">
      <c r="B118" s="16"/>
      <c r="C118" s="18"/>
      <c r="D118" s="18"/>
      <c r="E118" s="18"/>
      <c r="F118" s="2"/>
      <c r="X118" s="1"/>
    </row>
    <row r="119" spans="2:41" ht="15.6" x14ac:dyDescent="0.3">
      <c r="B119" s="16"/>
      <c r="C119" s="3" t="s">
        <v>57</v>
      </c>
      <c r="D119" s="3" t="s">
        <v>5</v>
      </c>
      <c r="E119" s="13" t="s">
        <v>58</v>
      </c>
      <c r="F119" s="2"/>
    </row>
    <row r="120" spans="2:41" ht="15.6" x14ac:dyDescent="0.3">
      <c r="B120" s="16"/>
      <c r="C120" s="4" t="s">
        <v>59</v>
      </c>
      <c r="D120" s="4">
        <v>0</v>
      </c>
      <c r="E120" s="12">
        <v>0</v>
      </c>
      <c r="F120" s="2"/>
    </row>
    <row r="121" spans="2:41" ht="15.6" x14ac:dyDescent="0.3">
      <c r="B121" s="16"/>
      <c r="C121" s="4" t="s">
        <v>60</v>
      </c>
      <c r="D121" s="4">
        <v>0</v>
      </c>
      <c r="E121" s="12">
        <v>0</v>
      </c>
      <c r="F121" s="2"/>
    </row>
    <row r="122" spans="2:41" ht="15.6" x14ac:dyDescent="0.3">
      <c r="B122" s="16"/>
      <c r="C122" s="4" t="s">
        <v>61</v>
      </c>
      <c r="D122" s="4">
        <v>0</v>
      </c>
      <c r="E122" s="12">
        <v>0</v>
      </c>
      <c r="F122" s="2"/>
    </row>
    <row r="123" spans="2:41" ht="15.6" x14ac:dyDescent="0.3">
      <c r="B123" s="16"/>
      <c r="C123" s="4" t="s">
        <v>62</v>
      </c>
      <c r="D123" s="4">
        <v>0</v>
      </c>
      <c r="E123" s="12">
        <v>0</v>
      </c>
      <c r="F123" s="2"/>
    </row>
    <row r="124" spans="2:41" ht="15.6" x14ac:dyDescent="0.3">
      <c r="B124" s="16"/>
      <c r="C124" s="4" t="s">
        <v>63</v>
      </c>
      <c r="D124" s="4">
        <f>SUM(Y113:AB113)</f>
        <v>5</v>
      </c>
      <c r="E124" s="4">
        <f>SUM(Y114:AB114)</f>
        <v>6</v>
      </c>
    </row>
    <row r="125" spans="2:41" ht="15.6" x14ac:dyDescent="0.3">
      <c r="B125" s="16"/>
      <c r="C125" s="4" t="s">
        <v>64</v>
      </c>
      <c r="D125" s="4">
        <f>SUM(AC113:AG113)</f>
        <v>0</v>
      </c>
      <c r="E125" s="4">
        <f>SUM(AC114:AG114)</f>
        <v>0</v>
      </c>
    </row>
    <row r="126" spans="2:41" ht="15.6" x14ac:dyDescent="0.3">
      <c r="B126" s="16"/>
      <c r="C126" s="4" t="s">
        <v>65</v>
      </c>
      <c r="D126" s="4">
        <v>28</v>
      </c>
      <c r="E126" s="4">
        <v>35</v>
      </c>
    </row>
    <row r="127" spans="2:41" ht="15.6" x14ac:dyDescent="0.3">
      <c r="B127" s="16"/>
      <c r="C127" s="4" t="s">
        <v>66</v>
      </c>
      <c r="D127" s="4">
        <f>SUM(AL113:AO113)</f>
        <v>157</v>
      </c>
      <c r="E127" s="4">
        <f>SUM(AL114:AO114)</f>
        <v>110</v>
      </c>
    </row>
    <row r="128" spans="2:41" ht="15.6" x14ac:dyDescent="0.3">
      <c r="B128" s="16"/>
      <c r="C128" s="4" t="s">
        <v>67</v>
      </c>
      <c r="D128" s="4">
        <v>0</v>
      </c>
      <c r="E128" s="4">
        <v>0</v>
      </c>
    </row>
    <row r="129" spans="2:23" ht="15.6" x14ac:dyDescent="0.3">
      <c r="B129" s="16"/>
      <c r="C129" s="4" t="s">
        <v>68</v>
      </c>
      <c r="D129" s="4">
        <v>0</v>
      </c>
      <c r="E129" s="4">
        <v>0</v>
      </c>
    </row>
    <row r="130" spans="2:23" ht="15.6" x14ac:dyDescent="0.3">
      <c r="B130" s="16"/>
      <c r="C130" s="4" t="s">
        <v>69</v>
      </c>
      <c r="D130" s="4">
        <v>0</v>
      </c>
      <c r="E130" s="4">
        <v>0</v>
      </c>
    </row>
    <row r="131" spans="2:23" ht="15.6" x14ac:dyDescent="0.3">
      <c r="B131" s="16"/>
      <c r="C131" s="4" t="s">
        <v>70</v>
      </c>
      <c r="D131" s="4">
        <v>0</v>
      </c>
      <c r="E131" s="4">
        <v>0</v>
      </c>
    </row>
    <row r="132" spans="2:23" ht="15.6" x14ac:dyDescent="0.3">
      <c r="B132" s="16"/>
      <c r="C132" s="18"/>
      <c r="D132" s="18"/>
      <c r="E132" s="18"/>
    </row>
    <row r="133" spans="2:23" x14ac:dyDescent="0.3">
      <c r="B133" s="16"/>
      <c r="F133" s="1"/>
    </row>
    <row r="134" spans="2:23" x14ac:dyDescent="0.3">
      <c r="B134" s="16"/>
    </row>
    <row r="135" spans="2:23" x14ac:dyDescent="0.3">
      <c r="B135" s="16"/>
    </row>
    <row r="136" spans="2:23" x14ac:dyDescent="0.3">
      <c r="B136" s="16"/>
    </row>
    <row r="137" spans="2:23" x14ac:dyDescent="0.3">
      <c r="B137" s="16"/>
    </row>
    <row r="138" spans="2:23" x14ac:dyDescent="0.3">
      <c r="B138" s="16"/>
    </row>
    <row r="139" spans="2:23" ht="15" thickBot="1" x14ac:dyDescent="0.35">
      <c r="B139" s="19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1" spans="2:23" ht="15" thickBot="1" x14ac:dyDescent="0.35"/>
    <row r="142" spans="2:23" x14ac:dyDescent="0.3">
      <c r="B142" s="14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2:23" ht="21" x14ac:dyDescent="0.4">
      <c r="B143" s="16"/>
      <c r="C143" s="65" t="s">
        <v>158</v>
      </c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</row>
    <row r="144" spans="2:23" ht="26.4" thickBot="1" x14ac:dyDescent="0.55000000000000004">
      <c r="B144" s="16"/>
      <c r="C144" s="17" t="s">
        <v>159</v>
      </c>
      <c r="D144" s="18"/>
      <c r="E144" s="18"/>
    </row>
    <row r="145" spans="2:41" ht="16.2" thickBot="1" x14ac:dyDescent="0.35">
      <c r="B145" s="16"/>
      <c r="C145" s="8" t="s">
        <v>159</v>
      </c>
      <c r="D145" s="9" t="s">
        <v>5</v>
      </c>
      <c r="E145" s="10" t="s">
        <v>6</v>
      </c>
      <c r="F145" s="1"/>
    </row>
    <row r="146" spans="2:41" ht="21" x14ac:dyDescent="0.4">
      <c r="B146" s="16"/>
      <c r="C146" s="11" t="s">
        <v>7</v>
      </c>
      <c r="D146" s="11" t="s">
        <v>8</v>
      </c>
      <c r="E146" s="11" t="s">
        <v>8</v>
      </c>
      <c r="G146" s="5" t="s">
        <v>9</v>
      </c>
      <c r="H146" s="6" t="s">
        <v>10</v>
      </c>
      <c r="I146" s="6" t="s">
        <v>11</v>
      </c>
      <c r="J146" s="6" t="s">
        <v>12</v>
      </c>
      <c r="K146" s="6" t="s">
        <v>13</v>
      </c>
      <c r="L146" s="6" t="s">
        <v>14</v>
      </c>
      <c r="M146" s="6" t="s">
        <v>15</v>
      </c>
      <c r="N146" s="6" t="s">
        <v>16</v>
      </c>
      <c r="O146" s="6" t="s">
        <v>17</v>
      </c>
      <c r="P146" s="6" t="s">
        <v>18</v>
      </c>
      <c r="Q146" s="6" t="s">
        <v>19</v>
      </c>
      <c r="R146" s="6" t="s">
        <v>20</v>
      </c>
      <c r="S146" s="6" t="s">
        <v>21</v>
      </c>
      <c r="T146" s="6" t="s">
        <v>22</v>
      </c>
      <c r="U146" s="6" t="s">
        <v>23</v>
      </c>
      <c r="V146" s="6" t="s">
        <v>24</v>
      </c>
      <c r="W146" s="28" t="s">
        <v>25</v>
      </c>
      <c r="X146" s="6" t="s">
        <v>26</v>
      </c>
      <c r="Y146" s="6" t="s">
        <v>27</v>
      </c>
      <c r="Z146" s="6" t="s">
        <v>28</v>
      </c>
      <c r="AA146" s="6" t="s">
        <v>29</v>
      </c>
      <c r="AB146" s="6" t="s">
        <v>30</v>
      </c>
      <c r="AC146" s="6" t="s">
        <v>31</v>
      </c>
      <c r="AD146" s="6" t="s">
        <v>32</v>
      </c>
      <c r="AE146" s="6" t="s">
        <v>33</v>
      </c>
      <c r="AF146" s="6" t="s">
        <v>34</v>
      </c>
      <c r="AG146" s="6" t="s">
        <v>35</v>
      </c>
      <c r="AH146" s="6" t="s">
        <v>36</v>
      </c>
      <c r="AI146" s="6" t="s">
        <v>37</v>
      </c>
      <c r="AJ146" s="6" t="s">
        <v>38</v>
      </c>
      <c r="AK146" s="6" t="s">
        <v>39</v>
      </c>
      <c r="AL146" s="6" t="s">
        <v>40</v>
      </c>
      <c r="AM146" s="6" t="s">
        <v>41</v>
      </c>
      <c r="AN146" s="6" t="s">
        <v>42</v>
      </c>
      <c r="AO146" s="6" t="s">
        <v>43</v>
      </c>
    </row>
    <row r="147" spans="2:41" ht="21" x14ac:dyDescent="0.4">
      <c r="B147" s="16"/>
      <c r="C147" s="4" t="s">
        <v>44</v>
      </c>
      <c r="D147" s="4" t="s">
        <v>160</v>
      </c>
      <c r="E147" s="4" t="s">
        <v>161</v>
      </c>
      <c r="G147" s="5" t="s">
        <v>47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30</v>
      </c>
      <c r="O147" s="7"/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29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15</v>
      </c>
      <c r="AE147" s="7">
        <v>130</v>
      </c>
      <c r="AF147" s="7"/>
      <c r="AG147" s="7">
        <v>47</v>
      </c>
      <c r="AH147" s="7">
        <v>10</v>
      </c>
      <c r="AI147" s="7">
        <v>40</v>
      </c>
      <c r="AJ147" s="7">
        <v>10</v>
      </c>
      <c r="AK147" s="7">
        <v>135</v>
      </c>
      <c r="AL147" s="7">
        <v>15</v>
      </c>
      <c r="AM147" s="7">
        <v>76</v>
      </c>
      <c r="AN147" s="7">
        <v>0</v>
      </c>
      <c r="AO147" s="7">
        <v>50</v>
      </c>
    </row>
    <row r="148" spans="2:41" ht="21" x14ac:dyDescent="0.4">
      <c r="B148" s="16"/>
      <c r="C148" s="4" t="s">
        <v>48</v>
      </c>
      <c r="D148" s="4" t="s">
        <v>162</v>
      </c>
      <c r="E148" s="4" t="s">
        <v>163</v>
      </c>
      <c r="G148" s="5" t="s">
        <v>49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20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29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135</v>
      </c>
      <c r="AE148" s="7">
        <v>6</v>
      </c>
      <c r="AF148" s="7">
        <v>0</v>
      </c>
      <c r="AG148" s="7">
        <v>125</v>
      </c>
      <c r="AH148" s="7">
        <v>40</v>
      </c>
      <c r="AI148" s="7">
        <v>28</v>
      </c>
      <c r="AJ148" s="7">
        <v>138</v>
      </c>
      <c r="AK148" s="7">
        <v>15</v>
      </c>
      <c r="AL148" s="7">
        <v>25</v>
      </c>
      <c r="AM148" s="7">
        <v>76</v>
      </c>
      <c r="AN148" s="7">
        <v>0</v>
      </c>
      <c r="AO148" s="7">
        <v>0</v>
      </c>
    </row>
    <row r="149" spans="2:41" ht="15.6" x14ac:dyDescent="0.3">
      <c r="B149" s="16"/>
      <c r="C149" s="4" t="s">
        <v>50</v>
      </c>
      <c r="D149" s="4" t="s">
        <v>164</v>
      </c>
      <c r="E149" s="4" t="s">
        <v>165</v>
      </c>
    </row>
    <row r="150" spans="2:41" ht="15.6" x14ac:dyDescent="0.3">
      <c r="B150" s="16"/>
      <c r="C150" s="4" t="s">
        <v>51</v>
      </c>
      <c r="D150" s="4" t="s">
        <v>166</v>
      </c>
      <c r="E150" s="4" t="s">
        <v>167</v>
      </c>
    </row>
    <row r="151" spans="2:41" ht="15.6" x14ac:dyDescent="0.3">
      <c r="B151" s="16"/>
      <c r="C151" s="4" t="s">
        <v>54</v>
      </c>
      <c r="D151" s="4" t="s">
        <v>168</v>
      </c>
      <c r="E151" s="12" t="s">
        <v>169</v>
      </c>
      <c r="F151" s="2"/>
    </row>
    <row r="152" spans="2:41" ht="15.6" x14ac:dyDescent="0.3">
      <c r="B152" s="16"/>
      <c r="C152" s="18"/>
      <c r="D152" s="18"/>
      <c r="E152" s="18"/>
      <c r="F152" s="2"/>
      <c r="X152" s="1"/>
    </row>
    <row r="153" spans="2:41" ht="15.6" x14ac:dyDescent="0.3">
      <c r="B153" s="16"/>
      <c r="C153" s="3" t="s">
        <v>57</v>
      </c>
      <c r="D153" s="3" t="s">
        <v>5</v>
      </c>
      <c r="E153" s="13" t="s">
        <v>58</v>
      </c>
      <c r="F153" s="2"/>
    </row>
    <row r="154" spans="2:41" ht="15.6" x14ac:dyDescent="0.3">
      <c r="B154" s="16"/>
      <c r="C154" s="4" t="s">
        <v>59</v>
      </c>
      <c r="D154" s="4">
        <v>0</v>
      </c>
      <c r="E154" s="12">
        <v>0</v>
      </c>
      <c r="F154" s="2"/>
    </row>
    <row r="155" spans="2:41" ht="15.6" x14ac:dyDescent="0.3">
      <c r="B155" s="16"/>
      <c r="C155" s="4" t="s">
        <v>60</v>
      </c>
      <c r="D155" s="4">
        <f>SUM(L147:O147)</f>
        <v>30</v>
      </c>
      <c r="E155" s="12">
        <f>SUM(L148:O148)</f>
        <v>20</v>
      </c>
      <c r="F155" s="2"/>
    </row>
    <row r="156" spans="2:41" ht="15.6" x14ac:dyDescent="0.3">
      <c r="B156" s="16"/>
      <c r="C156" s="4" t="s">
        <v>61</v>
      </c>
      <c r="D156" s="4">
        <v>0</v>
      </c>
      <c r="E156" s="12">
        <v>0</v>
      </c>
      <c r="F156" s="2"/>
    </row>
    <row r="157" spans="2:41" ht="15.6" x14ac:dyDescent="0.3">
      <c r="B157" s="16"/>
      <c r="C157" s="4" t="s">
        <v>62</v>
      </c>
      <c r="D157" s="4">
        <v>0</v>
      </c>
      <c r="E157" s="12">
        <v>0</v>
      </c>
      <c r="F157" s="2"/>
    </row>
    <row r="158" spans="2:41" ht="15.6" x14ac:dyDescent="0.3">
      <c r="B158" s="16"/>
      <c r="C158" s="4" t="s">
        <v>63</v>
      </c>
      <c r="D158" s="4">
        <f>SUM(Y147:AB147)</f>
        <v>0</v>
      </c>
      <c r="E158" s="4">
        <f>SUM(Y148:AB148)</f>
        <v>0</v>
      </c>
    </row>
    <row r="159" spans="2:41" ht="15.6" x14ac:dyDescent="0.3">
      <c r="B159" s="16"/>
      <c r="C159" s="4" t="s">
        <v>64</v>
      </c>
      <c r="D159" s="4">
        <f>SUM(AC147:AG147)</f>
        <v>192</v>
      </c>
      <c r="E159" s="4">
        <f>SUM(AC148:AG148)</f>
        <v>266</v>
      </c>
    </row>
    <row r="160" spans="2:41" ht="15.6" x14ac:dyDescent="0.3">
      <c r="B160" s="16"/>
      <c r="C160" s="4" t="s">
        <v>65</v>
      </c>
      <c r="D160" s="4">
        <f>SUM(AH147:AK147)</f>
        <v>195</v>
      </c>
      <c r="E160" s="4">
        <f>SUM(AH148:AK148)</f>
        <v>221</v>
      </c>
    </row>
    <row r="161" spans="2:23" ht="15.6" x14ac:dyDescent="0.3">
      <c r="B161" s="16"/>
      <c r="C161" s="4" t="s">
        <v>66</v>
      </c>
      <c r="D161" s="4">
        <f>SUM(AL147:AO147)</f>
        <v>141</v>
      </c>
      <c r="E161" s="4">
        <f>SUM(AL148:AO148)</f>
        <v>101</v>
      </c>
    </row>
    <row r="162" spans="2:23" ht="15.6" x14ac:dyDescent="0.3">
      <c r="B162" s="16"/>
      <c r="C162" s="4" t="s">
        <v>67</v>
      </c>
      <c r="D162" s="4">
        <v>0</v>
      </c>
      <c r="E162" s="4">
        <v>0</v>
      </c>
    </row>
    <row r="163" spans="2:23" ht="15.6" x14ac:dyDescent="0.3">
      <c r="B163" s="16"/>
      <c r="C163" s="4" t="s">
        <v>68</v>
      </c>
      <c r="D163" s="4">
        <v>0</v>
      </c>
      <c r="E163" s="4">
        <v>0</v>
      </c>
    </row>
    <row r="164" spans="2:23" ht="15.6" x14ac:dyDescent="0.3">
      <c r="B164" s="16"/>
      <c r="C164" s="4" t="s">
        <v>69</v>
      </c>
      <c r="D164" s="4">
        <v>0</v>
      </c>
      <c r="E164" s="4">
        <v>0</v>
      </c>
    </row>
    <row r="165" spans="2:23" ht="15.6" x14ac:dyDescent="0.3">
      <c r="B165" s="16"/>
      <c r="C165" s="4" t="s">
        <v>70</v>
      </c>
      <c r="D165" s="4">
        <v>0</v>
      </c>
      <c r="E165" s="4">
        <v>0</v>
      </c>
    </row>
    <row r="166" spans="2:23" ht="15.6" x14ac:dyDescent="0.3">
      <c r="B166" s="16"/>
      <c r="C166" s="18"/>
      <c r="D166" s="18"/>
      <c r="E166" s="18"/>
    </row>
    <row r="167" spans="2:23" x14ac:dyDescent="0.3">
      <c r="B167" s="16"/>
      <c r="F167" s="1"/>
    </row>
    <row r="168" spans="2:23" x14ac:dyDescent="0.3">
      <c r="B168" s="16"/>
    </row>
    <row r="169" spans="2:23" x14ac:dyDescent="0.3">
      <c r="B169" s="16"/>
    </row>
    <row r="170" spans="2:23" x14ac:dyDescent="0.3">
      <c r="B170" s="16"/>
    </row>
    <row r="171" spans="2:23" x14ac:dyDescent="0.3">
      <c r="B171" s="16"/>
    </row>
    <row r="172" spans="2:23" x14ac:dyDescent="0.3">
      <c r="B172" s="16"/>
    </row>
    <row r="173" spans="2:23" ht="15" thickBot="1" x14ac:dyDescent="0.35">
      <c r="B173" s="19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5" spans="2:23" ht="15" thickBot="1" x14ac:dyDescent="0.35"/>
    <row r="176" spans="2:23" x14ac:dyDescent="0.3">
      <c r="B176" s="14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2:41" ht="21" x14ac:dyDescent="0.4">
      <c r="B177" s="16"/>
      <c r="C177" s="65" t="s">
        <v>170</v>
      </c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</row>
    <row r="178" spans="2:41" ht="26.4" thickBot="1" x14ac:dyDescent="0.55000000000000004">
      <c r="B178" s="16"/>
      <c r="C178" s="17" t="s">
        <v>171</v>
      </c>
      <c r="D178" s="18"/>
      <c r="E178" s="18"/>
    </row>
    <row r="179" spans="2:41" ht="16.2" thickBot="1" x14ac:dyDescent="0.35">
      <c r="B179" s="16"/>
      <c r="C179" s="8" t="s">
        <v>171</v>
      </c>
      <c r="D179" s="9" t="s">
        <v>5</v>
      </c>
      <c r="E179" s="10" t="s">
        <v>6</v>
      </c>
      <c r="F179" s="1"/>
    </row>
    <row r="180" spans="2:41" ht="21" x14ac:dyDescent="0.4">
      <c r="B180" s="16"/>
      <c r="C180" s="11" t="s">
        <v>7</v>
      </c>
      <c r="D180" s="11" t="s">
        <v>8</v>
      </c>
      <c r="E180" s="11" t="s">
        <v>8</v>
      </c>
      <c r="G180" s="5" t="s">
        <v>9</v>
      </c>
      <c r="H180" s="6" t="s">
        <v>10</v>
      </c>
      <c r="I180" s="6" t="s">
        <v>11</v>
      </c>
      <c r="J180" s="6" t="s">
        <v>12</v>
      </c>
      <c r="K180" s="6" t="s">
        <v>13</v>
      </c>
      <c r="L180" s="6" t="s">
        <v>14</v>
      </c>
      <c r="M180" s="6" t="s">
        <v>15</v>
      </c>
      <c r="N180" s="6" t="s">
        <v>16</v>
      </c>
      <c r="O180" s="6" t="s">
        <v>17</v>
      </c>
      <c r="P180" s="6" t="s">
        <v>18</v>
      </c>
      <c r="Q180" s="6" t="s">
        <v>19</v>
      </c>
      <c r="R180" s="6" t="s">
        <v>20</v>
      </c>
      <c r="S180" s="6" t="s">
        <v>21</v>
      </c>
      <c r="T180" s="6" t="s">
        <v>22</v>
      </c>
      <c r="U180" s="6" t="s">
        <v>23</v>
      </c>
      <c r="V180" s="6" t="s">
        <v>24</v>
      </c>
      <c r="W180" s="28" t="s">
        <v>25</v>
      </c>
      <c r="X180" s="6" t="s">
        <v>26</v>
      </c>
      <c r="Y180" s="6" t="s">
        <v>27</v>
      </c>
      <c r="Z180" s="6" t="s">
        <v>28</v>
      </c>
      <c r="AA180" s="6" t="s">
        <v>29</v>
      </c>
      <c r="AB180" s="6" t="s">
        <v>30</v>
      </c>
      <c r="AC180" s="6" t="s">
        <v>31</v>
      </c>
      <c r="AD180" s="6" t="s">
        <v>32</v>
      </c>
      <c r="AE180" s="6" t="s">
        <v>33</v>
      </c>
      <c r="AF180" s="6" t="s">
        <v>34</v>
      </c>
      <c r="AG180" s="6" t="s">
        <v>35</v>
      </c>
      <c r="AH180" s="6" t="s">
        <v>36</v>
      </c>
      <c r="AI180" s="6" t="s">
        <v>37</v>
      </c>
      <c r="AJ180" s="6" t="s">
        <v>38</v>
      </c>
      <c r="AK180" s="6" t="s">
        <v>39</v>
      </c>
      <c r="AL180" s="6" t="s">
        <v>40</v>
      </c>
      <c r="AM180" s="6" t="s">
        <v>41</v>
      </c>
      <c r="AN180" s="6" t="s">
        <v>42</v>
      </c>
      <c r="AO180" s="6" t="s">
        <v>43</v>
      </c>
    </row>
    <row r="181" spans="2:41" ht="21" x14ac:dyDescent="0.4">
      <c r="B181" s="16"/>
      <c r="C181" s="4" t="s">
        <v>44</v>
      </c>
      <c r="D181" s="4" t="s">
        <v>172</v>
      </c>
      <c r="E181" s="4" t="s">
        <v>173</v>
      </c>
      <c r="G181" s="5" t="s">
        <v>47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36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29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15</v>
      </c>
      <c r="AM181" s="7">
        <v>110</v>
      </c>
      <c r="AN181" s="7">
        <v>0</v>
      </c>
      <c r="AO181" s="7">
        <v>0</v>
      </c>
    </row>
    <row r="182" spans="2:41" ht="21" x14ac:dyDescent="0.4">
      <c r="B182" s="16"/>
      <c r="C182" s="4" t="s">
        <v>48</v>
      </c>
      <c r="D182" s="4" t="s">
        <v>174</v>
      </c>
      <c r="E182" s="4" t="s">
        <v>175</v>
      </c>
      <c r="G182" s="5" t="s">
        <v>49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36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29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10</v>
      </c>
      <c r="AM182" s="7">
        <v>15</v>
      </c>
      <c r="AN182" s="7">
        <v>0</v>
      </c>
      <c r="AO182" s="7">
        <v>0</v>
      </c>
    </row>
    <row r="183" spans="2:41" ht="15.6" x14ac:dyDescent="0.3">
      <c r="B183" s="16"/>
      <c r="C183" s="4" t="s">
        <v>50</v>
      </c>
      <c r="D183" s="23">
        <v>45575</v>
      </c>
      <c r="E183" s="23">
        <v>45575</v>
      </c>
    </row>
    <row r="184" spans="2:41" ht="15.6" x14ac:dyDescent="0.3">
      <c r="B184" s="16"/>
      <c r="C184" s="4" t="s">
        <v>51</v>
      </c>
      <c r="D184" s="4" t="s">
        <v>176</v>
      </c>
      <c r="E184" s="4" t="s">
        <v>177</v>
      </c>
    </row>
    <row r="185" spans="2:41" ht="15.6" x14ac:dyDescent="0.3">
      <c r="B185" s="16"/>
      <c r="C185" s="4" t="s">
        <v>54</v>
      </c>
      <c r="D185" s="4" t="s">
        <v>178</v>
      </c>
      <c r="E185" s="12" t="s">
        <v>179</v>
      </c>
      <c r="F185" s="2"/>
    </row>
    <row r="186" spans="2:41" ht="15.6" x14ac:dyDescent="0.3">
      <c r="B186" s="16"/>
      <c r="C186" s="18"/>
      <c r="D186" s="18"/>
      <c r="E186" s="18"/>
      <c r="F186" s="2"/>
      <c r="X186" s="1"/>
    </row>
    <row r="187" spans="2:41" ht="15.6" x14ac:dyDescent="0.3">
      <c r="B187" s="16"/>
      <c r="C187" s="3" t="s">
        <v>57</v>
      </c>
      <c r="D187" s="3" t="s">
        <v>5</v>
      </c>
      <c r="E187" s="13" t="s">
        <v>58</v>
      </c>
      <c r="F187" s="2"/>
    </row>
    <row r="188" spans="2:41" ht="15.6" x14ac:dyDescent="0.3">
      <c r="B188" s="16"/>
      <c r="C188" s="4" t="s">
        <v>59</v>
      </c>
      <c r="D188" s="4">
        <v>0</v>
      </c>
      <c r="E188" s="12">
        <v>0</v>
      </c>
      <c r="F188" s="2"/>
    </row>
    <row r="189" spans="2:41" ht="15.6" x14ac:dyDescent="0.3">
      <c r="B189" s="16"/>
      <c r="C189" s="4" t="s">
        <v>60</v>
      </c>
      <c r="D189" s="4">
        <f>SUM(L181:O181)</f>
        <v>36</v>
      </c>
      <c r="E189" s="12">
        <f>SUM(L182:O182)</f>
        <v>36</v>
      </c>
      <c r="F189" s="2"/>
    </row>
    <row r="190" spans="2:41" ht="15.6" x14ac:dyDescent="0.3">
      <c r="B190" s="16"/>
      <c r="C190" s="4" t="s">
        <v>61</v>
      </c>
      <c r="D190" s="4">
        <v>0</v>
      </c>
      <c r="E190" s="12">
        <v>0</v>
      </c>
      <c r="F190" s="2"/>
    </row>
    <row r="191" spans="2:41" ht="15.6" x14ac:dyDescent="0.3">
      <c r="B191" s="16"/>
      <c r="C191" s="4" t="s">
        <v>62</v>
      </c>
      <c r="D191" s="4">
        <v>0</v>
      </c>
      <c r="E191" s="12">
        <v>0</v>
      </c>
      <c r="F191" s="2"/>
    </row>
    <row r="192" spans="2:41" ht="15.6" x14ac:dyDescent="0.3">
      <c r="B192" s="16"/>
      <c r="C192" s="4" t="s">
        <v>63</v>
      </c>
      <c r="D192" s="4">
        <f>SUM(Y181:AB181)</f>
        <v>0</v>
      </c>
      <c r="E192" s="4">
        <f>SUM(Y182:AB182)</f>
        <v>0</v>
      </c>
    </row>
    <row r="193" spans="2:23" ht="15.6" x14ac:dyDescent="0.3">
      <c r="B193" s="16"/>
      <c r="C193" s="4" t="s">
        <v>64</v>
      </c>
      <c r="D193" s="4">
        <f>SUM(AC181:AG181)</f>
        <v>0</v>
      </c>
      <c r="E193" s="4">
        <f>SUM(AC182:AG182)</f>
        <v>0</v>
      </c>
    </row>
    <row r="194" spans="2:23" ht="15.6" x14ac:dyDescent="0.3">
      <c r="B194" s="16"/>
      <c r="C194" s="4" t="s">
        <v>65</v>
      </c>
      <c r="D194" s="4">
        <v>0</v>
      </c>
      <c r="E194" s="4">
        <v>0</v>
      </c>
    </row>
    <row r="195" spans="2:23" ht="15.6" x14ac:dyDescent="0.3">
      <c r="B195" s="16"/>
      <c r="C195" s="4" t="s">
        <v>66</v>
      </c>
      <c r="D195" s="4">
        <f>SUM(AL181:AO181)</f>
        <v>125</v>
      </c>
      <c r="E195" s="4">
        <f>SUM(AL182:AO182)</f>
        <v>25</v>
      </c>
    </row>
    <row r="196" spans="2:23" ht="15.6" x14ac:dyDescent="0.3">
      <c r="B196" s="16"/>
      <c r="C196" s="4" t="s">
        <v>67</v>
      </c>
      <c r="D196" s="4">
        <v>0</v>
      </c>
      <c r="E196" s="4">
        <v>0</v>
      </c>
    </row>
    <row r="197" spans="2:23" ht="15.6" x14ac:dyDescent="0.3">
      <c r="B197" s="16"/>
      <c r="C197" s="4" t="s">
        <v>68</v>
      </c>
      <c r="D197" s="4">
        <v>0</v>
      </c>
      <c r="E197" s="4">
        <v>0</v>
      </c>
    </row>
    <row r="198" spans="2:23" ht="15.6" x14ac:dyDescent="0.3">
      <c r="B198" s="16"/>
      <c r="C198" s="4" t="s">
        <v>69</v>
      </c>
      <c r="D198" s="4">
        <v>0</v>
      </c>
      <c r="E198" s="4">
        <v>0</v>
      </c>
    </row>
    <row r="199" spans="2:23" ht="15.6" x14ac:dyDescent="0.3">
      <c r="B199" s="16"/>
      <c r="C199" s="4" t="s">
        <v>70</v>
      </c>
      <c r="D199" s="4">
        <v>0</v>
      </c>
      <c r="E199" s="4">
        <v>0</v>
      </c>
    </row>
    <row r="200" spans="2:23" ht="15.6" x14ac:dyDescent="0.3">
      <c r="B200" s="16"/>
      <c r="C200" s="18"/>
      <c r="D200" s="18"/>
      <c r="E200" s="18"/>
    </row>
    <row r="201" spans="2:23" x14ac:dyDescent="0.3">
      <c r="B201" s="16"/>
      <c r="F201" s="1"/>
    </row>
    <row r="202" spans="2:23" x14ac:dyDescent="0.3">
      <c r="B202" s="16"/>
    </row>
    <row r="203" spans="2:23" x14ac:dyDescent="0.3">
      <c r="B203" s="16"/>
    </row>
    <row r="204" spans="2:23" x14ac:dyDescent="0.3">
      <c r="B204" s="16"/>
    </row>
    <row r="205" spans="2:23" x14ac:dyDescent="0.3">
      <c r="B205" s="16"/>
    </row>
    <row r="206" spans="2:23" x14ac:dyDescent="0.3">
      <c r="B206" s="16"/>
    </row>
    <row r="207" spans="2:23" ht="15" thickBot="1" x14ac:dyDescent="0.35">
      <c r="B207" s="19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</row>
    <row r="210" spans="2:41" ht="15" thickBot="1" x14ac:dyDescent="0.35"/>
    <row r="211" spans="2:41" x14ac:dyDescent="0.3">
      <c r="B211" s="14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2:41" ht="21" x14ac:dyDescent="0.4">
      <c r="B212" s="16"/>
      <c r="C212" s="65" t="s">
        <v>180</v>
      </c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</row>
    <row r="213" spans="2:41" ht="26.4" thickBot="1" x14ac:dyDescent="0.55000000000000004">
      <c r="B213" s="16"/>
      <c r="C213" s="17" t="s">
        <v>181</v>
      </c>
      <c r="D213" s="18"/>
      <c r="E213" s="18"/>
    </row>
    <row r="214" spans="2:41" ht="16.2" thickBot="1" x14ac:dyDescent="0.35">
      <c r="B214" s="16"/>
      <c r="C214" s="8" t="s">
        <v>182</v>
      </c>
      <c r="D214" s="9" t="s">
        <v>5</v>
      </c>
      <c r="E214" s="10" t="s">
        <v>6</v>
      </c>
      <c r="F214" s="1"/>
    </row>
    <row r="215" spans="2:41" ht="21" x14ac:dyDescent="0.4">
      <c r="B215" s="16"/>
      <c r="C215" s="11" t="s">
        <v>7</v>
      </c>
      <c r="D215" s="11" t="s">
        <v>8</v>
      </c>
      <c r="E215" s="11" t="s">
        <v>8</v>
      </c>
      <c r="G215" s="5" t="s">
        <v>9</v>
      </c>
      <c r="H215" s="6" t="s">
        <v>10</v>
      </c>
      <c r="I215" s="6" t="s">
        <v>11</v>
      </c>
      <c r="J215" s="6" t="s">
        <v>12</v>
      </c>
      <c r="K215" s="6" t="s">
        <v>13</v>
      </c>
      <c r="L215" s="6" t="s">
        <v>14</v>
      </c>
      <c r="M215" s="6" t="s">
        <v>15</v>
      </c>
      <c r="N215" s="6" t="s">
        <v>16</v>
      </c>
      <c r="O215" s="6" t="s">
        <v>17</v>
      </c>
      <c r="P215" s="6" t="s">
        <v>18</v>
      </c>
      <c r="Q215" s="6" t="s">
        <v>19</v>
      </c>
      <c r="R215" s="6" t="s">
        <v>20</v>
      </c>
      <c r="S215" s="6" t="s">
        <v>21</v>
      </c>
      <c r="T215" s="6" t="s">
        <v>22</v>
      </c>
      <c r="U215" s="6" t="s">
        <v>23</v>
      </c>
      <c r="V215" s="6" t="s">
        <v>24</v>
      </c>
      <c r="W215" s="28" t="s">
        <v>25</v>
      </c>
      <c r="X215" s="6" t="s">
        <v>26</v>
      </c>
      <c r="Y215" s="6" t="s">
        <v>27</v>
      </c>
      <c r="Z215" s="6" t="s">
        <v>28</v>
      </c>
      <c r="AA215" s="6" t="s">
        <v>29</v>
      </c>
      <c r="AB215" s="6" t="s">
        <v>30</v>
      </c>
      <c r="AC215" s="6" t="s">
        <v>31</v>
      </c>
      <c r="AD215" s="6" t="s">
        <v>32</v>
      </c>
      <c r="AE215" s="6" t="s">
        <v>33</v>
      </c>
      <c r="AF215" s="6" t="s">
        <v>34</v>
      </c>
      <c r="AG215" s="6" t="s">
        <v>35</v>
      </c>
      <c r="AH215" s="6" t="s">
        <v>36</v>
      </c>
      <c r="AI215" s="6" t="s">
        <v>37</v>
      </c>
      <c r="AJ215" s="6" t="s">
        <v>38</v>
      </c>
      <c r="AK215" s="6" t="s">
        <v>39</v>
      </c>
      <c r="AL215" s="6" t="s">
        <v>40</v>
      </c>
      <c r="AM215" s="6" t="s">
        <v>41</v>
      </c>
      <c r="AN215" s="6" t="s">
        <v>42</v>
      </c>
      <c r="AO215" s="6" t="s">
        <v>43</v>
      </c>
    </row>
    <row r="216" spans="2:41" ht="21" x14ac:dyDescent="0.4">
      <c r="B216" s="16"/>
      <c r="C216" s="4" t="s">
        <v>44</v>
      </c>
      <c r="D216" s="4" t="s">
        <v>183</v>
      </c>
      <c r="E216" s="4" t="s">
        <v>184</v>
      </c>
      <c r="G216" s="5" t="s">
        <v>47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29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7</v>
      </c>
      <c r="AF216" s="7">
        <v>10</v>
      </c>
      <c r="AG216" s="7">
        <v>3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</row>
    <row r="217" spans="2:41" ht="21" x14ac:dyDescent="0.4">
      <c r="B217" s="16"/>
      <c r="C217" s="4" t="s">
        <v>48</v>
      </c>
      <c r="D217" s="4" t="s">
        <v>185</v>
      </c>
      <c r="E217" s="4" t="s">
        <v>186</v>
      </c>
      <c r="G217" s="5" t="s">
        <v>49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29">
        <v>0</v>
      </c>
      <c r="X217" s="7">
        <v>0</v>
      </c>
      <c r="Y217" s="7">
        <v>0</v>
      </c>
      <c r="Z217" s="7">
        <v>25</v>
      </c>
      <c r="AA217" s="7">
        <v>25</v>
      </c>
      <c r="AB217" s="7">
        <v>0</v>
      </c>
      <c r="AC217" s="7">
        <v>0</v>
      </c>
      <c r="AD217" s="7">
        <v>0</v>
      </c>
      <c r="AE217" s="7">
        <v>18</v>
      </c>
      <c r="AF217" s="7">
        <v>3</v>
      </c>
      <c r="AG217" s="7">
        <v>3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</row>
    <row r="218" spans="2:41" ht="15.6" x14ac:dyDescent="0.3">
      <c r="B218" s="16"/>
      <c r="C218" s="4" t="s">
        <v>50</v>
      </c>
      <c r="D218" s="4" t="s">
        <v>164</v>
      </c>
      <c r="E218" s="4" t="s">
        <v>164</v>
      </c>
    </row>
    <row r="219" spans="2:41" ht="15.6" x14ac:dyDescent="0.3">
      <c r="B219" s="16"/>
      <c r="C219" s="4" t="s">
        <v>51</v>
      </c>
      <c r="D219" s="4" t="s">
        <v>187</v>
      </c>
      <c r="E219" s="4" t="s">
        <v>188</v>
      </c>
    </row>
    <row r="220" spans="2:41" ht="15.6" x14ac:dyDescent="0.3">
      <c r="B220" s="16"/>
      <c r="C220" s="4" t="s">
        <v>54</v>
      </c>
      <c r="D220" s="4" t="s">
        <v>189</v>
      </c>
      <c r="E220" s="12" t="s">
        <v>190</v>
      </c>
      <c r="F220" s="2"/>
    </row>
    <row r="221" spans="2:41" ht="15.6" x14ac:dyDescent="0.3">
      <c r="B221" s="16"/>
      <c r="C221" s="18"/>
      <c r="D221" s="18"/>
      <c r="E221" s="18"/>
      <c r="F221" s="2"/>
      <c r="X221" s="1"/>
    </row>
    <row r="222" spans="2:41" ht="15.6" x14ac:dyDescent="0.3">
      <c r="B222" s="16"/>
      <c r="C222" s="3" t="s">
        <v>57</v>
      </c>
      <c r="D222" s="3" t="s">
        <v>5</v>
      </c>
      <c r="E222" s="13" t="s">
        <v>58</v>
      </c>
      <c r="F222" s="2"/>
    </row>
    <row r="223" spans="2:41" ht="15.6" x14ac:dyDescent="0.3">
      <c r="B223" s="16"/>
      <c r="C223" s="4" t="s">
        <v>59</v>
      </c>
      <c r="D223" s="4">
        <v>0</v>
      </c>
      <c r="E223" s="12">
        <v>0</v>
      </c>
      <c r="F223" s="2"/>
    </row>
    <row r="224" spans="2:41" ht="15.6" x14ac:dyDescent="0.3">
      <c r="B224" s="16"/>
      <c r="C224" s="4" t="s">
        <v>60</v>
      </c>
      <c r="D224" s="4">
        <v>0</v>
      </c>
      <c r="E224" s="12">
        <v>0</v>
      </c>
      <c r="F224" s="2"/>
    </row>
    <row r="225" spans="2:6" ht="15.6" x14ac:dyDescent="0.3">
      <c r="B225" s="16"/>
      <c r="C225" s="4" t="s">
        <v>61</v>
      </c>
      <c r="D225" s="4">
        <v>0</v>
      </c>
      <c r="E225" s="12">
        <v>0</v>
      </c>
      <c r="F225" s="2"/>
    </row>
    <row r="226" spans="2:6" ht="15.6" x14ac:dyDescent="0.3">
      <c r="B226" s="16"/>
      <c r="C226" s="4" t="s">
        <v>62</v>
      </c>
      <c r="D226" s="4">
        <v>0</v>
      </c>
      <c r="E226" s="12">
        <v>0</v>
      </c>
      <c r="F226" s="2"/>
    </row>
    <row r="227" spans="2:6" ht="15.6" x14ac:dyDescent="0.3">
      <c r="B227" s="16"/>
      <c r="C227" s="4" t="s">
        <v>63</v>
      </c>
      <c r="D227" s="4">
        <v>0</v>
      </c>
      <c r="E227" s="4">
        <v>0</v>
      </c>
    </row>
    <row r="228" spans="2:6" ht="15.6" x14ac:dyDescent="0.3">
      <c r="B228" s="16"/>
      <c r="C228" s="4" t="s">
        <v>64</v>
      </c>
      <c r="D228" s="4">
        <f>SUM(AC216:AG216)</f>
        <v>20</v>
      </c>
      <c r="E228" s="4">
        <f>SUM(AC217:AG217)</f>
        <v>24</v>
      </c>
    </row>
    <row r="229" spans="2:6" ht="15.6" x14ac:dyDescent="0.3">
      <c r="B229" s="16"/>
      <c r="C229" s="4" t="s">
        <v>65</v>
      </c>
      <c r="D229" s="4">
        <v>0</v>
      </c>
      <c r="E229" s="4">
        <v>0</v>
      </c>
    </row>
    <row r="230" spans="2:6" ht="15.6" x14ac:dyDescent="0.3">
      <c r="B230" s="16"/>
      <c r="C230" s="4" t="s">
        <v>66</v>
      </c>
      <c r="D230" s="4">
        <f>SUM(AL216:AO216)</f>
        <v>0</v>
      </c>
      <c r="E230" s="4">
        <v>0</v>
      </c>
    </row>
    <row r="231" spans="2:6" ht="15.6" x14ac:dyDescent="0.3">
      <c r="B231" s="16"/>
      <c r="C231" s="4" t="s">
        <v>67</v>
      </c>
      <c r="D231" s="4">
        <v>0</v>
      </c>
      <c r="E231" s="4">
        <v>0</v>
      </c>
    </row>
    <row r="232" spans="2:6" ht="15.6" x14ac:dyDescent="0.3">
      <c r="B232" s="16"/>
      <c r="C232" s="4" t="s">
        <v>68</v>
      </c>
      <c r="D232" s="4">
        <v>0</v>
      </c>
      <c r="E232" s="4">
        <v>0</v>
      </c>
    </row>
    <row r="233" spans="2:6" ht="15.6" x14ac:dyDescent="0.3">
      <c r="B233" s="16"/>
      <c r="C233" s="4" t="s">
        <v>69</v>
      </c>
      <c r="D233" s="4">
        <v>0</v>
      </c>
      <c r="E233" s="4">
        <v>0</v>
      </c>
    </row>
    <row r="234" spans="2:6" ht="15.6" x14ac:dyDescent="0.3">
      <c r="B234" s="16"/>
      <c r="C234" s="4" t="s">
        <v>70</v>
      </c>
      <c r="D234" s="4">
        <v>0</v>
      </c>
      <c r="E234" s="4">
        <v>0</v>
      </c>
    </row>
    <row r="235" spans="2:6" ht="15.6" x14ac:dyDescent="0.3">
      <c r="B235" s="16"/>
      <c r="C235" s="18"/>
      <c r="D235" s="18"/>
      <c r="E235" s="18"/>
    </row>
    <row r="236" spans="2:6" x14ac:dyDescent="0.3">
      <c r="B236" s="16"/>
      <c r="F236" s="1"/>
    </row>
    <row r="237" spans="2:6" x14ac:dyDescent="0.3">
      <c r="B237" s="16"/>
    </row>
    <row r="238" spans="2:6" x14ac:dyDescent="0.3">
      <c r="B238" s="16"/>
    </row>
    <row r="239" spans="2:6" x14ac:dyDescent="0.3">
      <c r="B239" s="16"/>
    </row>
    <row r="240" spans="2:6" x14ac:dyDescent="0.3">
      <c r="B240" s="16"/>
    </row>
    <row r="241" spans="2:23" x14ac:dyDescent="0.3">
      <c r="B241" s="16"/>
    </row>
    <row r="242" spans="2:23" ht="15" thickBot="1" x14ac:dyDescent="0.35">
      <c r="B242" s="19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</row>
    <row r="249" spans="2:23" ht="18" x14ac:dyDescent="0.35">
      <c r="B249" s="55" t="s">
        <v>109</v>
      </c>
      <c r="C249" s="56"/>
      <c r="D249" s="57" t="s">
        <v>110</v>
      </c>
      <c r="E249" s="57"/>
      <c r="F249" s="57"/>
    </row>
    <row r="250" spans="2:23" ht="30.75" customHeight="1" x14ac:dyDescent="0.35">
      <c r="B250" s="55" t="s">
        <v>111</v>
      </c>
      <c r="C250" s="58"/>
      <c r="D250" s="61"/>
      <c r="E250" s="59"/>
      <c r="F250" s="59"/>
    </row>
    <row r="251" spans="2:23" ht="18" x14ac:dyDescent="0.35">
      <c r="B251" s="55" t="s">
        <v>112</v>
      </c>
      <c r="C251" s="56"/>
      <c r="D251" s="59" t="s">
        <v>113</v>
      </c>
      <c r="E251" s="59"/>
      <c r="F251" s="59"/>
    </row>
    <row r="252" spans="2:23" ht="18" x14ac:dyDescent="0.35">
      <c r="B252" s="55" t="s">
        <v>114</v>
      </c>
      <c r="C252" s="60"/>
      <c r="D252" s="59" t="s">
        <v>115</v>
      </c>
      <c r="E252" s="60"/>
      <c r="F252" s="60"/>
    </row>
  </sheetData>
  <mergeCells count="14">
    <mergeCell ref="C109:W109"/>
    <mergeCell ref="C143:W143"/>
    <mergeCell ref="C177:W177"/>
    <mergeCell ref="C212:W212"/>
    <mergeCell ref="B2:V2"/>
    <mergeCell ref="B3:X3"/>
    <mergeCell ref="C6:W6"/>
    <mergeCell ref="C7:W7"/>
    <mergeCell ref="C41:W41"/>
    <mergeCell ref="C75:W75"/>
    <mergeCell ref="X7:AR7"/>
    <mergeCell ref="Y3:AU3"/>
    <mergeCell ref="X41:AR41"/>
    <mergeCell ref="X75:AR75"/>
  </mergeCell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0833-F18E-4EB6-A6E4-A57A69CE03D6}">
  <sheetPr>
    <pageSetUpPr fitToPage="1"/>
  </sheetPr>
  <dimension ref="A2:AM118"/>
  <sheetViews>
    <sheetView topLeftCell="A100" zoomScale="76" workbookViewId="0">
      <selection activeCell="C30" sqref="C30"/>
    </sheetView>
  </sheetViews>
  <sheetFormatPr defaultRowHeight="14.4" x14ac:dyDescent="0.3"/>
  <cols>
    <col min="1" max="1" width="25.44140625" customWidth="1"/>
    <col min="2" max="2" width="12.33203125" customWidth="1"/>
    <col min="6" max="6" width="11.6640625" customWidth="1"/>
    <col min="7" max="7" width="11.5546875" customWidth="1"/>
    <col min="8" max="8" width="11.88671875" customWidth="1"/>
    <col min="9" max="9" width="11.33203125" customWidth="1"/>
    <col min="10" max="10" width="12.109375" customWidth="1"/>
    <col min="11" max="11" width="12" customWidth="1"/>
    <col min="12" max="12" width="12.6640625" customWidth="1"/>
    <col min="13" max="13" width="12.33203125" customWidth="1"/>
    <col min="14" max="14" width="12" customWidth="1"/>
    <col min="15" max="15" width="11" customWidth="1"/>
    <col min="16" max="16" width="12.44140625" customWidth="1"/>
    <col min="17" max="17" width="12.33203125" customWidth="1"/>
    <col min="18" max="18" width="11.33203125" customWidth="1"/>
    <col min="19" max="19" width="11.5546875" customWidth="1"/>
    <col min="20" max="20" width="12.44140625" customWidth="1"/>
    <col min="21" max="21" width="11.44140625" customWidth="1"/>
    <col min="22" max="22" width="13" customWidth="1"/>
    <col min="23" max="26" width="11.6640625" bestFit="1" customWidth="1"/>
    <col min="27" max="27" width="10.6640625" customWidth="1"/>
    <col min="28" max="28" width="12.6640625" customWidth="1"/>
    <col min="29" max="29" width="12.109375" customWidth="1"/>
    <col min="30" max="30" width="13.109375" customWidth="1"/>
    <col min="31" max="31" width="12.109375" customWidth="1"/>
    <col min="32" max="32" width="11.33203125" customWidth="1"/>
    <col min="33" max="33" width="14.44140625" customWidth="1"/>
    <col min="34" max="34" width="12.5546875" customWidth="1"/>
    <col min="35" max="35" width="13" customWidth="1"/>
    <col min="36" max="36" width="15.6640625" customWidth="1"/>
    <col min="37" max="37" width="15.109375" customWidth="1"/>
    <col min="38" max="38" width="12.33203125" customWidth="1"/>
    <col min="39" max="39" width="17.33203125" customWidth="1"/>
  </cols>
  <sheetData>
    <row r="2" spans="1:39" ht="25.8" x14ac:dyDescent="0.5">
      <c r="A2" s="64" t="s">
        <v>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</row>
    <row r="3" spans="1:39" ht="21" x14ac:dyDescent="0.4">
      <c r="A3" s="65" t="s">
        <v>191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</row>
    <row r="4" spans="1:39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spans="1:39" ht="25.8" x14ac:dyDescent="0.5">
      <c r="A5" s="64" t="s">
        <v>0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</row>
    <row r="6" spans="1:39" ht="21" x14ac:dyDescent="0.4">
      <c r="A6" s="65" t="s">
        <v>192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</row>
    <row r="7" spans="1:39" ht="25.8" x14ac:dyDescent="0.5">
      <c r="A7" s="17" t="s">
        <v>193</v>
      </c>
      <c r="B7" s="18"/>
      <c r="C7" s="18"/>
    </row>
    <row r="8" spans="1:39" ht="15.6" x14ac:dyDescent="0.3">
      <c r="A8" s="30" t="s">
        <v>194</v>
      </c>
      <c r="B8" s="31" t="s">
        <v>5</v>
      </c>
      <c r="C8" s="32"/>
      <c r="D8" s="1"/>
    </row>
    <row r="9" spans="1:39" ht="21" x14ac:dyDescent="0.4">
      <c r="A9" s="33" t="s">
        <v>7</v>
      </c>
      <c r="B9" s="33" t="s">
        <v>195</v>
      </c>
      <c r="C9" s="18"/>
      <c r="E9" s="34" t="s">
        <v>9</v>
      </c>
      <c r="F9" s="35" t="s">
        <v>10</v>
      </c>
      <c r="G9" s="35" t="s">
        <v>11</v>
      </c>
      <c r="H9" s="35" t="s">
        <v>12</v>
      </c>
      <c r="I9" s="35" t="s">
        <v>13</v>
      </c>
      <c r="J9" s="35" t="s">
        <v>14</v>
      </c>
      <c r="K9" s="35" t="s">
        <v>15</v>
      </c>
      <c r="L9" s="35" t="s">
        <v>16</v>
      </c>
      <c r="M9" s="35" t="s">
        <v>17</v>
      </c>
      <c r="N9" s="35" t="s">
        <v>18</v>
      </c>
      <c r="O9" s="35" t="s">
        <v>19</v>
      </c>
      <c r="P9" s="35" t="s">
        <v>20</v>
      </c>
      <c r="Q9" s="35" t="s">
        <v>21</v>
      </c>
      <c r="R9" s="35" t="s">
        <v>22</v>
      </c>
      <c r="S9" s="35" t="s">
        <v>23</v>
      </c>
      <c r="T9" s="35" t="s">
        <v>24</v>
      </c>
      <c r="U9" s="35" t="s">
        <v>25</v>
      </c>
      <c r="V9" s="35" t="s">
        <v>26</v>
      </c>
      <c r="W9" s="35" t="s">
        <v>27</v>
      </c>
      <c r="X9" s="35" t="s">
        <v>28</v>
      </c>
      <c r="Y9" s="35" t="s">
        <v>29</v>
      </c>
      <c r="Z9" s="35" t="s">
        <v>30</v>
      </c>
      <c r="AA9" s="6" t="s">
        <v>31</v>
      </c>
      <c r="AB9" s="6" t="s">
        <v>32</v>
      </c>
      <c r="AC9" s="6" t="s">
        <v>33</v>
      </c>
      <c r="AD9" s="6" t="s">
        <v>34</v>
      </c>
      <c r="AE9" s="6" t="s">
        <v>35</v>
      </c>
      <c r="AF9" s="6" t="s">
        <v>36</v>
      </c>
      <c r="AG9" s="6" t="s">
        <v>37</v>
      </c>
      <c r="AH9" s="6" t="s">
        <v>38</v>
      </c>
      <c r="AI9" s="6" t="s">
        <v>40</v>
      </c>
      <c r="AJ9" s="6" t="s">
        <v>41</v>
      </c>
      <c r="AK9" s="35" t="s">
        <v>41</v>
      </c>
      <c r="AL9" s="35" t="s">
        <v>42</v>
      </c>
      <c r="AM9" s="35" t="s">
        <v>43</v>
      </c>
    </row>
    <row r="10" spans="1:39" ht="21" x14ac:dyDescent="0.4">
      <c r="A10" s="33" t="s">
        <v>44</v>
      </c>
      <c r="B10" s="36">
        <v>171005351</v>
      </c>
      <c r="C10" s="18"/>
      <c r="E10" s="37" t="s">
        <v>47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25</v>
      </c>
      <c r="AA10" s="7">
        <v>0</v>
      </c>
      <c r="AB10" s="7">
        <v>7</v>
      </c>
      <c r="AC10" s="7">
        <v>0</v>
      </c>
      <c r="AD10" s="7">
        <v>30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29">
        <v>0</v>
      </c>
      <c r="AK10" s="38">
        <v>30</v>
      </c>
      <c r="AL10" s="38">
        <v>0</v>
      </c>
      <c r="AM10" s="38">
        <v>0</v>
      </c>
    </row>
    <row r="11" spans="1:39" ht="21" x14ac:dyDescent="0.4">
      <c r="A11" s="33" t="s">
        <v>48</v>
      </c>
      <c r="B11" s="36" t="s">
        <v>196</v>
      </c>
      <c r="C11" s="18"/>
      <c r="E11" s="39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1"/>
      <c r="AK11" s="40"/>
      <c r="AL11" s="40"/>
      <c r="AM11" s="40"/>
    </row>
    <row r="12" spans="1:39" ht="15.6" x14ac:dyDescent="0.3">
      <c r="A12" s="33" t="s">
        <v>50</v>
      </c>
      <c r="B12" s="42">
        <v>45355</v>
      </c>
      <c r="C12" s="43"/>
    </row>
    <row r="13" spans="1:39" ht="15.6" x14ac:dyDescent="0.3">
      <c r="A13" s="33" t="s">
        <v>51</v>
      </c>
      <c r="B13" s="33" t="s">
        <v>197</v>
      </c>
      <c r="C13" s="18"/>
    </row>
    <row r="14" spans="1:39" ht="15.6" x14ac:dyDescent="0.3">
      <c r="A14" s="33" t="s">
        <v>198</v>
      </c>
      <c r="B14" s="33" t="s">
        <v>199</v>
      </c>
      <c r="C14" s="18"/>
    </row>
    <row r="15" spans="1:39" ht="15.6" x14ac:dyDescent="0.3">
      <c r="A15" s="33" t="s">
        <v>54</v>
      </c>
      <c r="B15" s="33" t="s">
        <v>200</v>
      </c>
      <c r="C15" s="18"/>
    </row>
    <row r="16" spans="1:39" ht="15.6" x14ac:dyDescent="0.3">
      <c r="A16" s="33"/>
      <c r="B16" s="33"/>
      <c r="C16" s="18"/>
    </row>
    <row r="17" spans="1:4" ht="15.6" x14ac:dyDescent="0.3">
      <c r="A17" s="44" t="s">
        <v>57</v>
      </c>
      <c r="B17" s="44" t="s">
        <v>5</v>
      </c>
      <c r="C17" s="32"/>
    </row>
    <row r="18" spans="1:4" ht="15.6" x14ac:dyDescent="0.3">
      <c r="A18" s="33" t="s">
        <v>59</v>
      </c>
      <c r="B18" s="33">
        <f>SUM(F10:I10)</f>
        <v>0</v>
      </c>
      <c r="C18" s="18"/>
    </row>
    <row r="19" spans="1:4" ht="15.6" x14ac:dyDescent="0.3">
      <c r="A19" s="33" t="s">
        <v>60</v>
      </c>
      <c r="B19" s="33">
        <f>SUM(J10:M10)</f>
        <v>0</v>
      </c>
      <c r="C19" s="18"/>
    </row>
    <row r="20" spans="1:4" ht="15.6" x14ac:dyDescent="0.3">
      <c r="A20" s="33" t="s">
        <v>61</v>
      </c>
      <c r="B20" s="33">
        <f>SUM(N10:Q10)</f>
        <v>0</v>
      </c>
      <c r="C20" s="18"/>
    </row>
    <row r="21" spans="1:4" ht="15.6" x14ac:dyDescent="0.3">
      <c r="A21" s="33" t="s">
        <v>62</v>
      </c>
      <c r="B21" s="33">
        <f>SUM(R10:U10)</f>
        <v>0</v>
      </c>
      <c r="C21" s="18"/>
    </row>
    <row r="22" spans="1:4" ht="15.6" x14ac:dyDescent="0.3">
      <c r="A22" s="33" t="s">
        <v>63</v>
      </c>
      <c r="B22" s="33">
        <v>0</v>
      </c>
      <c r="C22" s="18"/>
    </row>
    <row r="23" spans="1:4" ht="15.6" x14ac:dyDescent="0.3">
      <c r="A23" s="33" t="s">
        <v>64</v>
      </c>
      <c r="B23" s="33">
        <f>SUM(AA10:AE10)</f>
        <v>37</v>
      </c>
      <c r="C23" s="18"/>
    </row>
    <row r="24" spans="1:4" ht="15.6" x14ac:dyDescent="0.3">
      <c r="A24" s="33" t="s">
        <v>65</v>
      </c>
      <c r="B24" s="33">
        <v>0</v>
      </c>
      <c r="C24" s="18"/>
    </row>
    <row r="25" spans="1:4" ht="15.6" x14ac:dyDescent="0.3">
      <c r="A25" s="33" t="s">
        <v>66</v>
      </c>
      <c r="B25" s="33">
        <v>50</v>
      </c>
      <c r="C25" s="18"/>
    </row>
    <row r="26" spans="1:4" ht="15.6" x14ac:dyDescent="0.3">
      <c r="A26" s="33" t="s">
        <v>67</v>
      </c>
      <c r="B26" s="33">
        <v>0</v>
      </c>
      <c r="C26" s="18"/>
    </row>
    <row r="27" spans="1:4" ht="15.6" x14ac:dyDescent="0.3">
      <c r="A27" s="33" t="s">
        <v>68</v>
      </c>
      <c r="B27" s="33">
        <v>0</v>
      </c>
      <c r="C27" s="18"/>
    </row>
    <row r="28" spans="1:4" ht="15.6" x14ac:dyDescent="0.3">
      <c r="A28" s="33" t="s">
        <v>69</v>
      </c>
      <c r="B28" s="33">
        <v>0</v>
      </c>
      <c r="C28" s="18"/>
    </row>
    <row r="29" spans="1:4" ht="15.6" x14ac:dyDescent="0.3">
      <c r="A29" s="33" t="s">
        <v>70</v>
      </c>
      <c r="B29" s="33">
        <v>0</v>
      </c>
      <c r="C29" s="18"/>
    </row>
    <row r="30" spans="1:4" ht="15.6" x14ac:dyDescent="0.3">
      <c r="A30" s="18"/>
      <c r="B30" s="18"/>
      <c r="C30" s="18"/>
    </row>
    <row r="31" spans="1:4" x14ac:dyDescent="0.3">
      <c r="D31" s="1"/>
    </row>
    <row r="37" spans="1:38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40" spans="1:38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spans="1:38" ht="21" x14ac:dyDescent="0.4">
      <c r="A41" s="65" t="s">
        <v>201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</row>
    <row r="42" spans="1:38" ht="25.8" x14ac:dyDescent="0.5">
      <c r="A42" s="17" t="s">
        <v>202</v>
      </c>
      <c r="B42" s="18"/>
      <c r="C42" s="18"/>
    </row>
    <row r="43" spans="1:38" ht="15.6" x14ac:dyDescent="0.3">
      <c r="A43" s="45" t="s">
        <v>203</v>
      </c>
      <c r="B43" s="44" t="s">
        <v>5</v>
      </c>
      <c r="C43" s="32"/>
      <c r="D43" s="1"/>
    </row>
    <row r="44" spans="1:38" ht="21" x14ac:dyDescent="0.4">
      <c r="A44" s="46" t="s">
        <v>7</v>
      </c>
      <c r="B44" s="33" t="s">
        <v>195</v>
      </c>
      <c r="C44" s="18"/>
      <c r="E44" s="34" t="s">
        <v>9</v>
      </c>
      <c r="F44" s="35" t="s">
        <v>10</v>
      </c>
      <c r="G44" s="35" t="s">
        <v>11</v>
      </c>
      <c r="H44" s="35" t="s">
        <v>12</v>
      </c>
      <c r="I44" s="35" t="s">
        <v>13</v>
      </c>
      <c r="J44" s="35" t="s">
        <v>14</v>
      </c>
      <c r="K44" s="35" t="s">
        <v>15</v>
      </c>
      <c r="L44" s="35" t="s">
        <v>16</v>
      </c>
      <c r="M44" s="35" t="s">
        <v>17</v>
      </c>
      <c r="N44" s="35" t="s">
        <v>18</v>
      </c>
      <c r="O44" s="35" t="s">
        <v>19</v>
      </c>
      <c r="P44" s="35" t="s">
        <v>20</v>
      </c>
      <c r="Q44" s="35" t="s">
        <v>21</v>
      </c>
      <c r="R44" s="35" t="s">
        <v>22</v>
      </c>
      <c r="S44" s="35" t="s">
        <v>23</v>
      </c>
      <c r="T44" s="35" t="s">
        <v>24</v>
      </c>
      <c r="U44" s="35" t="s">
        <v>25</v>
      </c>
      <c r="V44" s="35" t="s">
        <v>26</v>
      </c>
      <c r="W44" s="35" t="s">
        <v>27</v>
      </c>
      <c r="X44" s="35" t="s">
        <v>28</v>
      </c>
      <c r="Y44" s="35" t="s">
        <v>29</v>
      </c>
      <c r="Z44" s="35" t="s">
        <v>30</v>
      </c>
      <c r="AA44" s="6" t="s">
        <v>31</v>
      </c>
      <c r="AB44" s="6" t="s">
        <v>32</v>
      </c>
      <c r="AC44" s="6" t="s">
        <v>33</v>
      </c>
      <c r="AD44" s="6" t="s">
        <v>34</v>
      </c>
      <c r="AE44" s="6" t="s">
        <v>35</v>
      </c>
      <c r="AF44" s="6" t="s">
        <v>36</v>
      </c>
      <c r="AG44" s="6" t="s">
        <v>37</v>
      </c>
      <c r="AH44" s="6" t="s">
        <v>38</v>
      </c>
      <c r="AI44" s="6" t="s">
        <v>40</v>
      </c>
      <c r="AJ44" s="35" t="s">
        <v>41</v>
      </c>
      <c r="AK44" s="35" t="s">
        <v>42</v>
      </c>
      <c r="AL44" s="35" t="s">
        <v>43</v>
      </c>
    </row>
    <row r="45" spans="1:38" ht="21" x14ac:dyDescent="0.4">
      <c r="A45" s="12" t="s">
        <v>44</v>
      </c>
      <c r="B45" s="36">
        <v>171005352</v>
      </c>
      <c r="C45" s="18"/>
      <c r="E45" s="37" t="s">
        <v>47</v>
      </c>
      <c r="F45" s="38">
        <v>0</v>
      </c>
      <c r="G45" s="38">
        <v>0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0</v>
      </c>
      <c r="R45" s="38">
        <v>0</v>
      </c>
      <c r="S45" s="38">
        <v>0</v>
      </c>
      <c r="T45" s="38">
        <v>0</v>
      </c>
      <c r="U45" s="38">
        <v>0</v>
      </c>
      <c r="V45" s="38">
        <v>0</v>
      </c>
      <c r="W45" s="38">
        <v>0</v>
      </c>
      <c r="X45" s="38">
        <v>0</v>
      </c>
      <c r="Y45" s="38">
        <v>0</v>
      </c>
      <c r="Z45" s="38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29">
        <v>0</v>
      </c>
      <c r="AJ45" s="38">
        <v>0</v>
      </c>
      <c r="AK45" s="38">
        <v>0</v>
      </c>
      <c r="AL45" s="38">
        <v>0</v>
      </c>
    </row>
    <row r="46" spans="1:38" ht="21" x14ac:dyDescent="0.4">
      <c r="A46" s="12" t="s">
        <v>48</v>
      </c>
      <c r="B46" s="33" t="s">
        <v>204</v>
      </c>
      <c r="C46" s="18"/>
      <c r="E46" s="39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AJ46" s="40"/>
      <c r="AK46" s="40"/>
      <c r="AL46" s="40"/>
    </row>
    <row r="47" spans="1:38" ht="15.6" x14ac:dyDescent="0.3">
      <c r="A47" s="12" t="s">
        <v>50</v>
      </c>
      <c r="B47" s="42">
        <v>45638</v>
      </c>
      <c r="C47" s="43"/>
    </row>
    <row r="48" spans="1:38" ht="15.6" x14ac:dyDescent="0.3">
      <c r="A48" s="12" t="s">
        <v>51</v>
      </c>
      <c r="B48" s="33" t="s">
        <v>205</v>
      </c>
      <c r="C48" s="18"/>
    </row>
    <row r="49" spans="1:3" ht="15.6" x14ac:dyDescent="0.3">
      <c r="A49" s="12" t="s">
        <v>206</v>
      </c>
      <c r="B49" s="33" t="s">
        <v>207</v>
      </c>
      <c r="C49" s="18"/>
    </row>
    <row r="50" spans="1:3" ht="15.6" x14ac:dyDescent="0.3">
      <c r="A50" s="12" t="s">
        <v>54</v>
      </c>
      <c r="B50" s="33" t="s">
        <v>208</v>
      </c>
      <c r="C50" s="18"/>
    </row>
    <row r="51" spans="1:3" ht="15.6" x14ac:dyDescent="0.3">
      <c r="A51" s="18"/>
      <c r="B51" s="33"/>
      <c r="C51" s="18"/>
    </row>
    <row r="52" spans="1:3" ht="15.6" x14ac:dyDescent="0.3">
      <c r="A52" s="13" t="s">
        <v>57</v>
      </c>
      <c r="B52" s="44" t="s">
        <v>5</v>
      </c>
      <c r="C52" s="32"/>
    </row>
    <row r="53" spans="1:3" ht="15.6" x14ac:dyDescent="0.3">
      <c r="A53" s="12" t="s">
        <v>59</v>
      </c>
      <c r="B53" s="33">
        <v>0</v>
      </c>
      <c r="C53" s="18"/>
    </row>
    <row r="54" spans="1:3" ht="15.6" x14ac:dyDescent="0.3">
      <c r="A54" s="12" t="s">
        <v>60</v>
      </c>
      <c r="B54" s="33">
        <v>0</v>
      </c>
      <c r="C54" s="18"/>
    </row>
    <row r="55" spans="1:3" ht="15.6" x14ac:dyDescent="0.3">
      <c r="A55" s="12" t="s">
        <v>61</v>
      </c>
      <c r="B55" s="33">
        <v>0</v>
      </c>
      <c r="C55" s="18"/>
    </row>
    <row r="56" spans="1:3" ht="15.6" x14ac:dyDescent="0.3">
      <c r="A56" s="12" t="s">
        <v>62</v>
      </c>
      <c r="B56" s="33">
        <f>SUM(R45:U45)</f>
        <v>0</v>
      </c>
      <c r="C56" s="18"/>
    </row>
    <row r="57" spans="1:3" ht="15.6" x14ac:dyDescent="0.3">
      <c r="A57" s="12" t="s">
        <v>63</v>
      </c>
      <c r="B57" s="33">
        <v>0</v>
      </c>
      <c r="C57" s="18"/>
    </row>
    <row r="58" spans="1:3" ht="15.6" x14ac:dyDescent="0.3">
      <c r="A58" s="12" t="s">
        <v>64</v>
      </c>
      <c r="B58" s="33">
        <f>SUM(AA45:AF45)</f>
        <v>0</v>
      </c>
      <c r="C58" s="18"/>
    </row>
    <row r="59" spans="1:3" ht="15.6" x14ac:dyDescent="0.3">
      <c r="A59" s="12" t="s">
        <v>65</v>
      </c>
      <c r="B59" s="33">
        <v>0</v>
      </c>
      <c r="C59" s="18"/>
    </row>
    <row r="60" spans="1:3" ht="15.6" x14ac:dyDescent="0.3">
      <c r="A60" s="12" t="s">
        <v>66</v>
      </c>
      <c r="B60" s="33">
        <v>0</v>
      </c>
      <c r="C60" s="18"/>
    </row>
    <row r="61" spans="1:3" ht="15.6" x14ac:dyDescent="0.3">
      <c r="A61" s="12" t="s">
        <v>67</v>
      </c>
      <c r="B61" s="33">
        <v>0</v>
      </c>
      <c r="C61" s="18"/>
    </row>
    <row r="62" spans="1:3" ht="15.6" x14ac:dyDescent="0.3">
      <c r="A62" s="12" t="s">
        <v>68</v>
      </c>
      <c r="B62" s="33">
        <v>0</v>
      </c>
      <c r="C62" s="18"/>
    </row>
    <row r="63" spans="1:3" ht="15.6" x14ac:dyDescent="0.3">
      <c r="A63" s="12" t="s">
        <v>69</v>
      </c>
      <c r="B63" s="33">
        <v>0</v>
      </c>
      <c r="C63" s="18"/>
    </row>
    <row r="64" spans="1:3" ht="15.6" x14ac:dyDescent="0.3">
      <c r="A64" s="12" t="s">
        <v>70</v>
      </c>
      <c r="B64" s="33">
        <v>0</v>
      </c>
      <c r="C64" s="18"/>
    </row>
    <row r="65" spans="1:39" ht="15.6" x14ac:dyDescent="0.3">
      <c r="A65" s="18"/>
      <c r="B65" s="18"/>
      <c r="C65" s="18"/>
    </row>
    <row r="66" spans="1:39" x14ac:dyDescent="0.3">
      <c r="D66" s="1"/>
    </row>
    <row r="72" spans="1:39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5" spans="1:39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spans="1:39" ht="21" x14ac:dyDescent="0.4">
      <c r="A76" s="65" t="s">
        <v>209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</row>
    <row r="77" spans="1:39" ht="25.8" x14ac:dyDescent="0.5">
      <c r="A77" s="17" t="s">
        <v>210</v>
      </c>
      <c r="B77" s="18"/>
      <c r="C77" s="18"/>
    </row>
    <row r="78" spans="1:39" ht="15.6" x14ac:dyDescent="0.3">
      <c r="A78" s="45" t="s">
        <v>211</v>
      </c>
      <c r="B78" s="44" t="s">
        <v>5</v>
      </c>
      <c r="C78" s="32"/>
      <c r="D78" s="1"/>
    </row>
    <row r="79" spans="1:39" ht="21" x14ac:dyDescent="0.4">
      <c r="A79" s="46" t="s">
        <v>7</v>
      </c>
      <c r="B79" s="33" t="s">
        <v>195</v>
      </c>
      <c r="C79" s="18"/>
      <c r="E79" s="34" t="s">
        <v>9</v>
      </c>
      <c r="F79" s="35" t="s">
        <v>10</v>
      </c>
      <c r="G79" s="35" t="s">
        <v>11</v>
      </c>
      <c r="H79" s="35" t="s">
        <v>12</v>
      </c>
      <c r="I79" s="35" t="s">
        <v>13</v>
      </c>
      <c r="J79" s="35" t="s">
        <v>14</v>
      </c>
      <c r="K79" s="35" t="s">
        <v>15</v>
      </c>
      <c r="L79" s="35" t="s">
        <v>16</v>
      </c>
      <c r="M79" s="35" t="s">
        <v>17</v>
      </c>
      <c r="N79" s="35" t="s">
        <v>18</v>
      </c>
      <c r="O79" s="35" t="s">
        <v>19</v>
      </c>
      <c r="P79" s="35" t="s">
        <v>20</v>
      </c>
      <c r="Q79" s="35" t="s">
        <v>21</v>
      </c>
      <c r="R79" s="35" t="s">
        <v>22</v>
      </c>
      <c r="S79" s="35" t="s">
        <v>23</v>
      </c>
      <c r="T79" s="35" t="s">
        <v>24</v>
      </c>
      <c r="U79" s="35" t="s">
        <v>25</v>
      </c>
      <c r="V79" s="35" t="s">
        <v>26</v>
      </c>
      <c r="W79" s="35" t="s">
        <v>27</v>
      </c>
      <c r="X79" s="35" t="s">
        <v>28</v>
      </c>
      <c r="Y79" s="35" t="s">
        <v>29</v>
      </c>
      <c r="Z79" s="35" t="s">
        <v>30</v>
      </c>
      <c r="AA79" s="6" t="s">
        <v>31</v>
      </c>
      <c r="AB79" s="6" t="s">
        <v>32</v>
      </c>
      <c r="AC79" s="6" t="s">
        <v>33</v>
      </c>
      <c r="AD79" s="6" t="s">
        <v>34</v>
      </c>
      <c r="AE79" s="6" t="s">
        <v>35</v>
      </c>
      <c r="AF79" s="6" t="s">
        <v>36</v>
      </c>
      <c r="AG79" s="6" t="s">
        <v>37</v>
      </c>
      <c r="AH79" s="6" t="s">
        <v>38</v>
      </c>
      <c r="AI79" s="6" t="s">
        <v>40</v>
      </c>
      <c r="AJ79" s="6" t="s">
        <v>41</v>
      </c>
      <c r="AK79" s="35" t="s">
        <v>41</v>
      </c>
      <c r="AL79" s="35" t="s">
        <v>42</v>
      </c>
      <c r="AM79" s="35" t="s">
        <v>43</v>
      </c>
    </row>
    <row r="80" spans="1:39" ht="21" x14ac:dyDescent="0.4">
      <c r="A80" s="12" t="s">
        <v>44</v>
      </c>
      <c r="B80" s="33">
        <v>171005585</v>
      </c>
      <c r="C80" s="18"/>
      <c r="E80" s="37" t="s">
        <v>47</v>
      </c>
      <c r="F80" s="38">
        <v>0</v>
      </c>
      <c r="G80" s="38">
        <v>0</v>
      </c>
      <c r="H80" s="38">
        <v>0</v>
      </c>
      <c r="I80" s="38">
        <v>0</v>
      </c>
      <c r="J80" s="38">
        <v>0</v>
      </c>
      <c r="K80" s="38">
        <v>0</v>
      </c>
      <c r="L80" s="38">
        <v>0</v>
      </c>
      <c r="M80" s="38">
        <v>0</v>
      </c>
      <c r="N80" s="38">
        <v>0</v>
      </c>
      <c r="O80" s="38">
        <v>0</v>
      </c>
      <c r="P80" s="38">
        <v>0</v>
      </c>
      <c r="Q80" s="38">
        <v>0</v>
      </c>
      <c r="R80" s="38">
        <v>0</v>
      </c>
      <c r="S80" s="38">
        <v>0</v>
      </c>
      <c r="T80" s="38">
        <v>0</v>
      </c>
      <c r="U80" s="38">
        <v>0</v>
      </c>
      <c r="V80" s="38">
        <v>0</v>
      </c>
      <c r="W80" s="38">
        <v>0</v>
      </c>
      <c r="X80" s="38">
        <v>0</v>
      </c>
      <c r="Y80" s="38">
        <v>0</v>
      </c>
      <c r="Z80" s="38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29">
        <v>0</v>
      </c>
      <c r="AK80" s="38">
        <v>0</v>
      </c>
      <c r="AL80" s="38">
        <v>0</v>
      </c>
      <c r="AM80" s="38">
        <v>0</v>
      </c>
    </row>
    <row r="81" spans="1:39" ht="21" x14ac:dyDescent="0.4">
      <c r="A81" s="12" t="s">
        <v>48</v>
      </c>
      <c r="B81" s="33" t="s">
        <v>212</v>
      </c>
      <c r="C81" s="18"/>
      <c r="E81" s="39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AK81" s="40"/>
      <c r="AL81" s="40"/>
      <c r="AM81" s="40"/>
    </row>
    <row r="82" spans="1:39" ht="15.6" x14ac:dyDescent="0.3">
      <c r="A82" s="12" t="s">
        <v>50</v>
      </c>
      <c r="B82" s="47" t="s">
        <v>213</v>
      </c>
      <c r="C82" s="18"/>
    </row>
    <row r="83" spans="1:39" ht="15.6" x14ac:dyDescent="0.3">
      <c r="A83" s="12" t="s">
        <v>51</v>
      </c>
      <c r="B83" s="33" t="s">
        <v>214</v>
      </c>
      <c r="C83" s="18"/>
    </row>
    <row r="84" spans="1:39" ht="15.6" x14ac:dyDescent="0.3">
      <c r="A84" s="12" t="s">
        <v>198</v>
      </c>
      <c r="B84" s="33" t="s">
        <v>215</v>
      </c>
      <c r="C84" s="18"/>
    </row>
    <row r="85" spans="1:39" ht="15.6" x14ac:dyDescent="0.3">
      <c r="A85" s="12" t="s">
        <v>54</v>
      </c>
      <c r="B85" s="33" t="s">
        <v>216</v>
      </c>
      <c r="C85" s="18"/>
    </row>
    <row r="86" spans="1:39" ht="15.6" x14ac:dyDescent="0.3">
      <c r="A86" s="18"/>
      <c r="B86" s="33"/>
      <c r="C86" s="18"/>
    </row>
    <row r="87" spans="1:39" ht="15.6" x14ac:dyDescent="0.3">
      <c r="A87" s="13" t="s">
        <v>57</v>
      </c>
      <c r="B87" s="44" t="s">
        <v>5</v>
      </c>
      <c r="C87" s="32"/>
    </row>
    <row r="88" spans="1:39" ht="15.6" x14ac:dyDescent="0.3">
      <c r="A88" s="12" t="s">
        <v>59</v>
      </c>
      <c r="B88" s="33">
        <f>SUM(F80:I80)</f>
        <v>0</v>
      </c>
      <c r="C88" s="18"/>
    </row>
    <row r="89" spans="1:39" ht="15.6" x14ac:dyDescent="0.3">
      <c r="A89" s="12" t="s">
        <v>60</v>
      </c>
      <c r="B89" s="33">
        <f>SUM(J80:M80)</f>
        <v>0</v>
      </c>
      <c r="C89" s="18"/>
    </row>
    <row r="90" spans="1:39" ht="15.6" x14ac:dyDescent="0.3">
      <c r="A90" s="12" t="s">
        <v>61</v>
      </c>
      <c r="B90" s="33">
        <f>SUM(N80:Q80)</f>
        <v>0</v>
      </c>
      <c r="C90" s="18"/>
    </row>
    <row r="91" spans="1:39" ht="15.6" x14ac:dyDescent="0.3">
      <c r="A91" s="12" t="s">
        <v>62</v>
      </c>
      <c r="B91" s="33">
        <f>SUM(R80:U80)</f>
        <v>0</v>
      </c>
      <c r="C91" s="18"/>
    </row>
    <row r="92" spans="1:39" ht="15.6" x14ac:dyDescent="0.3">
      <c r="A92" s="12" t="s">
        <v>63</v>
      </c>
      <c r="B92" s="33">
        <v>0</v>
      </c>
      <c r="C92" s="18"/>
    </row>
    <row r="93" spans="1:39" ht="15.6" x14ac:dyDescent="0.3">
      <c r="A93" s="12" t="s">
        <v>64</v>
      </c>
      <c r="B93" s="33">
        <f>SUM(AA80:AE80)</f>
        <v>0</v>
      </c>
      <c r="C93" s="18"/>
    </row>
    <row r="94" spans="1:39" ht="15.6" x14ac:dyDescent="0.3">
      <c r="A94" s="12" t="s">
        <v>65</v>
      </c>
      <c r="B94" s="33">
        <v>0</v>
      </c>
      <c r="C94" s="18"/>
    </row>
    <row r="95" spans="1:39" ht="15.6" x14ac:dyDescent="0.3">
      <c r="A95" s="12" t="s">
        <v>66</v>
      </c>
      <c r="B95" s="33">
        <v>0</v>
      </c>
      <c r="C95" s="18"/>
    </row>
    <row r="96" spans="1:39" ht="15.6" x14ac:dyDescent="0.3">
      <c r="A96" s="12" t="s">
        <v>67</v>
      </c>
      <c r="B96" s="33">
        <v>0</v>
      </c>
      <c r="C96" s="18"/>
    </row>
    <row r="97" spans="1:21" ht="15.6" x14ac:dyDescent="0.3">
      <c r="A97" s="12" t="s">
        <v>68</v>
      </c>
      <c r="B97" s="33">
        <v>0</v>
      </c>
      <c r="C97" s="18"/>
    </row>
    <row r="98" spans="1:21" ht="15.6" x14ac:dyDescent="0.3">
      <c r="A98" s="12" t="s">
        <v>69</v>
      </c>
      <c r="B98" s="33">
        <v>0</v>
      </c>
      <c r="C98" s="18"/>
    </row>
    <row r="99" spans="1:21" ht="15.6" x14ac:dyDescent="0.3">
      <c r="A99" s="12" t="s">
        <v>70</v>
      </c>
      <c r="B99" s="33">
        <v>0</v>
      </c>
      <c r="C99" s="18"/>
    </row>
    <row r="100" spans="1:21" ht="15.6" x14ac:dyDescent="0.3">
      <c r="A100" s="18"/>
      <c r="B100" s="18"/>
      <c r="C100" s="18"/>
    </row>
    <row r="101" spans="1:21" x14ac:dyDescent="0.3">
      <c r="D101" s="1"/>
    </row>
    <row r="107" spans="1:2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10" spans="1:21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5" spans="1:5" ht="18" x14ac:dyDescent="0.35">
      <c r="A115" s="55" t="s">
        <v>109</v>
      </c>
      <c r="B115" s="56"/>
      <c r="C115" s="57" t="s">
        <v>110</v>
      </c>
      <c r="D115" s="57"/>
      <c r="E115" s="57"/>
    </row>
    <row r="116" spans="1:5" ht="33" customHeight="1" x14ac:dyDescent="0.35">
      <c r="A116" s="55" t="s">
        <v>111</v>
      </c>
      <c r="B116" s="58"/>
      <c r="C116" s="61"/>
      <c r="D116" s="59"/>
      <c r="E116" s="59"/>
    </row>
    <row r="117" spans="1:5" ht="18" x14ac:dyDescent="0.35">
      <c r="A117" s="55" t="s">
        <v>112</v>
      </c>
      <c r="B117" s="56"/>
      <c r="C117" s="59" t="s">
        <v>113</v>
      </c>
      <c r="D117" s="59"/>
      <c r="E117" s="59"/>
    </row>
    <row r="118" spans="1:5" ht="18" x14ac:dyDescent="0.35">
      <c r="A118" s="55" t="s">
        <v>114</v>
      </c>
      <c r="B118" s="60"/>
      <c r="C118" s="59" t="s">
        <v>115</v>
      </c>
      <c r="D118" s="60"/>
      <c r="E118" s="60"/>
    </row>
  </sheetData>
  <mergeCells count="6">
    <mergeCell ref="A76:U76"/>
    <mergeCell ref="A2:U2"/>
    <mergeCell ref="A3:W3"/>
    <mergeCell ref="A5:U5"/>
    <mergeCell ref="A6:U6"/>
    <mergeCell ref="A41:U41"/>
  </mergeCells>
  <pageMargins left="0.7" right="0.7" top="0.75" bottom="0.75" header="0.3" footer="0.3"/>
  <pageSetup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EAE4-BD5E-4FB9-9BE2-3D1AF04D2D75}">
  <sheetPr>
    <pageSetUpPr fitToPage="1"/>
  </sheetPr>
  <dimension ref="A2:AN125"/>
  <sheetViews>
    <sheetView topLeftCell="A100" zoomScale="50" zoomScaleNormal="50" workbookViewId="0">
      <selection activeCell="E33" sqref="E33"/>
    </sheetView>
  </sheetViews>
  <sheetFormatPr defaultRowHeight="14.4" x14ac:dyDescent="0.3"/>
  <cols>
    <col min="3" max="3" width="25.5546875" bestFit="1" customWidth="1"/>
    <col min="4" max="4" width="12.5546875" customWidth="1"/>
    <col min="5" max="6" width="11.88671875" customWidth="1"/>
    <col min="8" max="8" width="14.109375" customWidth="1"/>
    <col min="9" max="9" width="12.44140625" customWidth="1"/>
    <col min="10" max="11" width="12.5546875" customWidth="1"/>
    <col min="12" max="12" width="11.109375" customWidth="1"/>
    <col min="13" max="13" width="12" customWidth="1"/>
    <col min="14" max="14" width="14.5546875" customWidth="1"/>
    <col min="15" max="15" width="12.5546875" customWidth="1"/>
    <col min="16" max="16" width="13.109375" customWidth="1"/>
    <col min="17" max="17" width="12.88671875" customWidth="1"/>
    <col min="19" max="19" width="12.5546875" customWidth="1"/>
    <col min="20" max="20" width="11.88671875" customWidth="1"/>
    <col min="21" max="21" width="11.109375" customWidth="1"/>
    <col min="22" max="22" width="11.88671875" customWidth="1"/>
    <col min="23" max="23" width="12.88671875" customWidth="1"/>
    <col min="24" max="24" width="14.88671875" customWidth="1"/>
    <col min="25" max="25" width="11.6640625" customWidth="1"/>
    <col min="26" max="26" width="11.33203125" customWidth="1"/>
    <col min="27" max="27" width="11.88671875" customWidth="1"/>
    <col min="28" max="28" width="12.6640625" customWidth="1"/>
    <col min="29" max="29" width="12" customWidth="1"/>
    <col min="30" max="30" width="13.44140625" customWidth="1"/>
    <col min="31" max="31" width="15.33203125" customWidth="1"/>
    <col min="32" max="32" width="12.5546875" customWidth="1"/>
    <col min="33" max="33" width="14.5546875" customWidth="1"/>
    <col min="34" max="34" width="12.109375" customWidth="1"/>
    <col min="35" max="35" width="13.109375" customWidth="1"/>
    <col min="36" max="36" width="13.5546875" customWidth="1"/>
    <col min="37" max="37" width="13.33203125" customWidth="1"/>
    <col min="38" max="38" width="17.109375" customWidth="1"/>
    <col min="39" max="39" width="13.88671875" customWidth="1"/>
    <col min="40" max="40" width="14" customWidth="1"/>
  </cols>
  <sheetData>
    <row r="2" spans="2:40" ht="25.8" x14ac:dyDescent="0.5">
      <c r="B2" s="64" t="s">
        <v>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</row>
    <row r="3" spans="2:40" ht="21" x14ac:dyDescent="0.4">
      <c r="B3" s="65" t="s">
        <v>217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</row>
    <row r="5" spans="2:40" x14ac:dyDescent="0.3"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48"/>
    </row>
    <row r="6" spans="2:40" ht="25.8" x14ac:dyDescent="0.5">
      <c r="B6" s="16"/>
      <c r="C6" s="64" t="s">
        <v>0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41"/>
    </row>
    <row r="7" spans="2:40" ht="21" x14ac:dyDescent="0.4">
      <c r="B7" s="16"/>
      <c r="C7" s="65" t="s">
        <v>218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41"/>
    </row>
    <row r="8" spans="2:40" ht="25.8" x14ac:dyDescent="0.5">
      <c r="B8" s="16"/>
      <c r="C8" s="17" t="s">
        <v>219</v>
      </c>
      <c r="D8" s="18"/>
      <c r="E8" s="18"/>
      <c r="X8" s="41"/>
    </row>
    <row r="9" spans="2:40" ht="15.6" x14ac:dyDescent="0.3">
      <c r="B9" s="16"/>
      <c r="C9" s="45" t="s">
        <v>219</v>
      </c>
      <c r="D9" s="44" t="s">
        <v>5</v>
      </c>
      <c r="E9" s="32"/>
      <c r="F9" s="1"/>
      <c r="X9" s="41"/>
    </row>
    <row r="10" spans="2:40" ht="21" x14ac:dyDescent="0.4">
      <c r="B10" s="16"/>
      <c r="C10" s="46" t="s">
        <v>7</v>
      </c>
      <c r="D10" s="33" t="s">
        <v>195</v>
      </c>
      <c r="E10" s="18"/>
      <c r="G10" s="34" t="s">
        <v>9</v>
      </c>
      <c r="H10" s="35" t="s">
        <v>10</v>
      </c>
      <c r="I10" s="35" t="s">
        <v>11</v>
      </c>
      <c r="J10" s="35" t="s">
        <v>12</v>
      </c>
      <c r="K10" s="35" t="s">
        <v>13</v>
      </c>
      <c r="L10" s="35" t="s">
        <v>14</v>
      </c>
      <c r="M10" s="35" t="s">
        <v>15</v>
      </c>
      <c r="N10" s="35" t="s">
        <v>16</v>
      </c>
      <c r="O10" s="35" t="s">
        <v>17</v>
      </c>
      <c r="P10" s="35" t="s">
        <v>18</v>
      </c>
      <c r="Q10" s="35" t="s">
        <v>19</v>
      </c>
      <c r="R10" s="35" t="s">
        <v>20</v>
      </c>
      <c r="S10" s="35" t="s">
        <v>21</v>
      </c>
      <c r="T10" s="35" t="s">
        <v>22</v>
      </c>
      <c r="U10" s="35" t="s">
        <v>23</v>
      </c>
      <c r="V10" s="35" t="s">
        <v>24</v>
      </c>
      <c r="W10" s="35" t="s">
        <v>25</v>
      </c>
      <c r="X10" s="35" t="s">
        <v>26</v>
      </c>
      <c r="Y10" s="35" t="s">
        <v>27</v>
      </c>
      <c r="Z10" s="35" t="s">
        <v>28</v>
      </c>
      <c r="AA10" s="35" t="s">
        <v>29</v>
      </c>
      <c r="AB10" s="35" t="s">
        <v>30</v>
      </c>
      <c r="AC10" s="6" t="s">
        <v>31</v>
      </c>
      <c r="AD10" s="6" t="s">
        <v>32</v>
      </c>
      <c r="AE10" s="6" t="s">
        <v>33</v>
      </c>
      <c r="AF10" s="6" t="s">
        <v>34</v>
      </c>
      <c r="AG10" s="6" t="s">
        <v>35</v>
      </c>
      <c r="AH10" s="6" t="s">
        <v>36</v>
      </c>
      <c r="AI10" s="6" t="s">
        <v>37</v>
      </c>
      <c r="AJ10" s="6" t="s">
        <v>38</v>
      </c>
      <c r="AK10" s="6" t="s">
        <v>40</v>
      </c>
      <c r="AL10" s="35" t="s">
        <v>41</v>
      </c>
      <c r="AM10" s="35" t="s">
        <v>42</v>
      </c>
      <c r="AN10" s="35" t="s">
        <v>43</v>
      </c>
    </row>
    <row r="11" spans="2:40" ht="21" x14ac:dyDescent="0.4">
      <c r="B11" s="16"/>
      <c r="C11" s="12" t="s">
        <v>44</v>
      </c>
      <c r="D11" s="33">
        <v>171005350</v>
      </c>
      <c r="E11" s="18"/>
      <c r="G11" s="37" t="s">
        <v>47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38">
        <v>0</v>
      </c>
      <c r="AB11" s="38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29">
        <v>0</v>
      </c>
      <c r="AL11" s="38">
        <v>0</v>
      </c>
      <c r="AM11" s="38">
        <v>0</v>
      </c>
      <c r="AN11" s="38">
        <v>79</v>
      </c>
    </row>
    <row r="12" spans="2:40" ht="21" x14ac:dyDescent="0.4">
      <c r="B12" s="16"/>
      <c r="C12" s="12" t="s">
        <v>48</v>
      </c>
      <c r="D12" s="36" t="s">
        <v>220</v>
      </c>
      <c r="E12" s="18"/>
      <c r="G12" s="39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1"/>
    </row>
    <row r="13" spans="2:40" ht="15.6" x14ac:dyDescent="0.3">
      <c r="B13" s="16"/>
      <c r="C13" s="12" t="s">
        <v>50</v>
      </c>
      <c r="D13" s="42">
        <v>45545</v>
      </c>
      <c r="E13" s="43"/>
      <c r="X13" s="41"/>
    </row>
    <row r="14" spans="2:40" ht="15.6" x14ac:dyDescent="0.3">
      <c r="B14" s="16"/>
      <c r="C14" s="12" t="s">
        <v>51</v>
      </c>
      <c r="D14" s="33" t="s">
        <v>221</v>
      </c>
      <c r="E14" s="18"/>
      <c r="X14" s="41"/>
    </row>
    <row r="15" spans="2:40" ht="15.6" x14ac:dyDescent="0.3">
      <c r="B15" s="16"/>
      <c r="C15" s="12" t="s">
        <v>198</v>
      </c>
      <c r="D15" s="33" t="s">
        <v>222</v>
      </c>
      <c r="E15" s="18"/>
      <c r="X15" s="41"/>
    </row>
    <row r="16" spans="2:40" ht="15.6" x14ac:dyDescent="0.3">
      <c r="B16" s="16"/>
      <c r="C16" s="12" t="s">
        <v>54</v>
      </c>
      <c r="D16" s="33" t="s">
        <v>223</v>
      </c>
      <c r="E16" s="18"/>
      <c r="X16" s="41"/>
    </row>
    <row r="17" spans="2:24" ht="15.6" x14ac:dyDescent="0.3">
      <c r="B17" s="16"/>
      <c r="C17" s="18"/>
      <c r="D17" s="33"/>
      <c r="E17" s="18"/>
      <c r="X17" s="49"/>
    </row>
    <row r="18" spans="2:24" ht="15.6" x14ac:dyDescent="0.3">
      <c r="B18" s="16"/>
      <c r="C18" s="13" t="s">
        <v>57</v>
      </c>
      <c r="D18" s="44" t="s">
        <v>5</v>
      </c>
      <c r="E18" s="32"/>
      <c r="X18" s="41"/>
    </row>
    <row r="19" spans="2:24" ht="15.6" x14ac:dyDescent="0.3">
      <c r="B19" s="16"/>
      <c r="C19" s="12" t="s">
        <v>59</v>
      </c>
      <c r="D19" s="33">
        <f>SUM(H11:K11)</f>
        <v>0</v>
      </c>
      <c r="E19" s="18"/>
      <c r="X19" s="41"/>
    </row>
    <row r="20" spans="2:24" ht="15.6" x14ac:dyDescent="0.3">
      <c r="B20" s="16"/>
      <c r="C20" s="12" t="s">
        <v>60</v>
      </c>
      <c r="D20" s="33">
        <f>SUM(L11:O11)</f>
        <v>0</v>
      </c>
      <c r="E20" s="18"/>
      <c r="X20" s="41"/>
    </row>
    <row r="21" spans="2:24" ht="15.6" x14ac:dyDescent="0.3">
      <c r="B21" s="16"/>
      <c r="C21" s="12" t="s">
        <v>61</v>
      </c>
      <c r="D21" s="33">
        <f>SUM(P11:S11)</f>
        <v>0</v>
      </c>
      <c r="E21" s="18"/>
      <c r="X21" s="41"/>
    </row>
    <row r="22" spans="2:24" ht="15.6" x14ac:dyDescent="0.3">
      <c r="B22" s="16"/>
      <c r="C22" s="12" t="s">
        <v>62</v>
      </c>
      <c r="D22" s="33">
        <f>SUM(T11:W11)</f>
        <v>0</v>
      </c>
      <c r="E22" s="18"/>
      <c r="X22" s="41"/>
    </row>
    <row r="23" spans="2:24" ht="15.6" x14ac:dyDescent="0.3">
      <c r="B23" s="16"/>
      <c r="C23" s="12" t="s">
        <v>63</v>
      </c>
      <c r="D23" s="33">
        <v>0</v>
      </c>
      <c r="E23" s="18"/>
      <c r="X23" s="41"/>
    </row>
    <row r="24" spans="2:24" ht="15.6" x14ac:dyDescent="0.3">
      <c r="B24" s="16"/>
      <c r="C24" s="12" t="s">
        <v>64</v>
      </c>
      <c r="D24" s="33">
        <f>SUM(AC11:AG11)</f>
        <v>0</v>
      </c>
      <c r="E24" s="18"/>
      <c r="X24" s="41"/>
    </row>
    <row r="25" spans="2:24" ht="15.6" x14ac:dyDescent="0.3">
      <c r="B25" s="16"/>
      <c r="C25" s="12" t="s">
        <v>65</v>
      </c>
      <c r="D25" s="33">
        <v>0</v>
      </c>
      <c r="E25" s="18"/>
      <c r="X25" s="41"/>
    </row>
    <row r="26" spans="2:24" ht="15.6" x14ac:dyDescent="0.3">
      <c r="B26" s="16"/>
      <c r="C26" s="12" t="s">
        <v>66</v>
      </c>
      <c r="D26" s="33">
        <v>79</v>
      </c>
      <c r="E26" s="18"/>
      <c r="X26" s="41"/>
    </row>
    <row r="27" spans="2:24" ht="15.6" x14ac:dyDescent="0.3">
      <c r="B27" s="16"/>
      <c r="C27" s="12" t="s">
        <v>67</v>
      </c>
      <c r="D27" s="33">
        <v>0</v>
      </c>
      <c r="E27" s="18"/>
      <c r="X27" s="41"/>
    </row>
    <row r="28" spans="2:24" ht="15.6" x14ac:dyDescent="0.3">
      <c r="B28" s="16"/>
      <c r="C28" s="12" t="s">
        <v>68</v>
      </c>
      <c r="D28" s="33">
        <v>0</v>
      </c>
      <c r="E28" s="18"/>
      <c r="X28" s="41"/>
    </row>
    <row r="29" spans="2:24" ht="15.6" x14ac:dyDescent="0.3">
      <c r="B29" s="16"/>
      <c r="C29" s="12" t="s">
        <v>69</v>
      </c>
      <c r="D29" s="33">
        <v>0</v>
      </c>
      <c r="E29" s="18"/>
      <c r="X29" s="41"/>
    </row>
    <row r="30" spans="2:24" ht="15.6" x14ac:dyDescent="0.3">
      <c r="B30" s="16"/>
      <c r="C30" s="12" t="s">
        <v>70</v>
      </c>
      <c r="D30" s="33">
        <v>0</v>
      </c>
      <c r="E30" s="18"/>
      <c r="X30" s="41"/>
    </row>
    <row r="31" spans="2:24" ht="15.6" x14ac:dyDescent="0.3">
      <c r="B31" s="16"/>
      <c r="C31" s="18"/>
      <c r="D31" s="18"/>
      <c r="E31" s="18"/>
      <c r="X31" s="41"/>
    </row>
    <row r="32" spans="2:24" x14ac:dyDescent="0.3">
      <c r="B32" s="16"/>
      <c r="F32" s="1"/>
      <c r="X32" s="41"/>
    </row>
    <row r="33" spans="2:40" x14ac:dyDescent="0.3">
      <c r="B33" s="16"/>
      <c r="X33" s="41"/>
    </row>
    <row r="34" spans="2:40" x14ac:dyDescent="0.3">
      <c r="B34" s="16"/>
      <c r="X34" s="41"/>
    </row>
    <row r="35" spans="2:40" x14ac:dyDescent="0.3">
      <c r="B35" s="16"/>
      <c r="X35" s="41"/>
    </row>
    <row r="36" spans="2:40" x14ac:dyDescent="0.3">
      <c r="B36" s="16"/>
      <c r="X36" s="41"/>
    </row>
    <row r="37" spans="2:40" x14ac:dyDescent="0.3">
      <c r="B37" s="16"/>
      <c r="X37" s="41"/>
    </row>
    <row r="38" spans="2:40" x14ac:dyDescent="0.3"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50"/>
    </row>
    <row r="41" spans="2:40" x14ac:dyDescent="0.3"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48"/>
    </row>
    <row r="42" spans="2:40" ht="21" x14ac:dyDescent="0.4">
      <c r="B42" s="16"/>
      <c r="C42" s="65" t="s">
        <v>224</v>
      </c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41"/>
    </row>
    <row r="43" spans="2:40" ht="25.8" x14ac:dyDescent="0.5">
      <c r="B43" s="16"/>
      <c r="C43" s="17" t="s">
        <v>225</v>
      </c>
      <c r="D43" s="18"/>
      <c r="E43" s="18"/>
      <c r="X43" s="41"/>
    </row>
    <row r="44" spans="2:40" ht="15.6" x14ac:dyDescent="0.3">
      <c r="B44" s="16"/>
      <c r="C44" s="45" t="s">
        <v>226</v>
      </c>
      <c r="D44" s="44" t="s">
        <v>5</v>
      </c>
      <c r="E44" s="32"/>
      <c r="F44" s="1"/>
      <c r="X44" s="41"/>
    </row>
    <row r="45" spans="2:40" ht="21" x14ac:dyDescent="0.4">
      <c r="B45" s="16"/>
      <c r="C45" s="46" t="s">
        <v>7</v>
      </c>
      <c r="D45" s="33" t="s">
        <v>195</v>
      </c>
      <c r="E45" s="18"/>
      <c r="G45" s="34" t="s">
        <v>9</v>
      </c>
      <c r="H45" s="35" t="s">
        <v>10</v>
      </c>
      <c r="I45" s="35" t="s">
        <v>11</v>
      </c>
      <c r="J45" s="35" t="s">
        <v>12</v>
      </c>
      <c r="K45" s="35" t="s">
        <v>13</v>
      </c>
      <c r="L45" s="35" t="s">
        <v>14</v>
      </c>
      <c r="M45" s="35" t="s">
        <v>15</v>
      </c>
      <c r="N45" s="35" t="s">
        <v>16</v>
      </c>
      <c r="O45" s="35" t="s">
        <v>17</v>
      </c>
      <c r="P45" s="35" t="s">
        <v>18</v>
      </c>
      <c r="Q45" s="35" t="s">
        <v>19</v>
      </c>
      <c r="R45" s="35" t="s">
        <v>20</v>
      </c>
      <c r="S45" s="35" t="s">
        <v>21</v>
      </c>
      <c r="T45" s="35" t="s">
        <v>22</v>
      </c>
      <c r="U45" s="35" t="s">
        <v>23</v>
      </c>
      <c r="V45" s="35" t="s">
        <v>24</v>
      </c>
      <c r="W45" s="35" t="s">
        <v>25</v>
      </c>
      <c r="X45" s="35" t="s">
        <v>26</v>
      </c>
      <c r="Y45" s="35" t="s">
        <v>27</v>
      </c>
      <c r="Z45" s="35" t="s">
        <v>28</v>
      </c>
      <c r="AA45" s="35" t="s">
        <v>29</v>
      </c>
      <c r="AB45" s="35" t="s">
        <v>30</v>
      </c>
      <c r="AC45" s="6" t="s">
        <v>31</v>
      </c>
      <c r="AD45" s="6" t="s">
        <v>32</v>
      </c>
      <c r="AE45" s="6" t="s">
        <v>33</v>
      </c>
      <c r="AF45" s="6" t="s">
        <v>34</v>
      </c>
      <c r="AG45" s="6" t="s">
        <v>35</v>
      </c>
      <c r="AH45" s="6" t="s">
        <v>36</v>
      </c>
      <c r="AI45" s="6" t="s">
        <v>37</v>
      </c>
      <c r="AJ45" s="6" t="s">
        <v>38</v>
      </c>
      <c r="AK45" s="6" t="s">
        <v>40</v>
      </c>
      <c r="AL45" s="6" t="s">
        <v>41</v>
      </c>
      <c r="AM45" s="6" t="s">
        <v>42</v>
      </c>
      <c r="AN45" s="6" t="s">
        <v>43</v>
      </c>
    </row>
    <row r="46" spans="2:40" ht="21" x14ac:dyDescent="0.4">
      <c r="B46" s="16"/>
      <c r="C46" s="12" t="s">
        <v>44</v>
      </c>
      <c r="D46" s="33">
        <v>171005584</v>
      </c>
      <c r="E46" s="18"/>
      <c r="G46" s="37" t="s">
        <v>47</v>
      </c>
      <c r="H46" s="38">
        <v>0</v>
      </c>
      <c r="I46" s="38">
        <v>0</v>
      </c>
      <c r="J46" s="38">
        <v>0</v>
      </c>
      <c r="K46" s="38">
        <v>0</v>
      </c>
      <c r="L46" s="38">
        <v>0</v>
      </c>
      <c r="M46" s="38">
        <v>0</v>
      </c>
      <c r="N46" s="38">
        <v>0</v>
      </c>
      <c r="O46" s="38">
        <v>0</v>
      </c>
      <c r="P46" s="38">
        <v>25</v>
      </c>
      <c r="Q46" s="38">
        <v>0</v>
      </c>
      <c r="R46" s="38">
        <f>25+96</f>
        <v>121</v>
      </c>
      <c r="S46" s="38">
        <v>20</v>
      </c>
      <c r="T46" s="51">
        <v>77</v>
      </c>
      <c r="U46" s="38">
        <v>52</v>
      </c>
      <c r="V46" s="38">
        <v>45</v>
      </c>
      <c r="W46" s="38">
        <v>0</v>
      </c>
      <c r="X46" s="38">
        <v>0</v>
      </c>
      <c r="Y46" s="38">
        <v>0</v>
      </c>
      <c r="Z46" s="38">
        <v>0</v>
      </c>
      <c r="AA46" s="38">
        <v>0</v>
      </c>
      <c r="AB46" s="38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20</v>
      </c>
      <c r="AJ46" s="7">
        <v>70</v>
      </c>
      <c r="AK46" s="7">
        <v>0</v>
      </c>
      <c r="AL46" s="63">
        <v>0</v>
      </c>
      <c r="AM46" s="63">
        <v>0</v>
      </c>
      <c r="AN46" s="63">
        <v>0</v>
      </c>
    </row>
    <row r="47" spans="2:40" ht="21" x14ac:dyDescent="0.4">
      <c r="B47" s="16"/>
      <c r="C47" s="12" t="s">
        <v>48</v>
      </c>
      <c r="D47" s="33" t="s">
        <v>227</v>
      </c>
      <c r="E47" s="18"/>
      <c r="G47" s="39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1"/>
      <c r="AL47" s="62">
        <v>0</v>
      </c>
      <c r="AM47" s="62">
        <v>0</v>
      </c>
      <c r="AN47" s="62">
        <v>0</v>
      </c>
    </row>
    <row r="48" spans="2:40" ht="15.6" x14ac:dyDescent="0.3">
      <c r="B48" s="16"/>
      <c r="C48" s="12" t="s">
        <v>50</v>
      </c>
      <c r="D48" s="47">
        <v>45326</v>
      </c>
      <c r="E48" s="43"/>
      <c r="X48" s="41"/>
    </row>
    <row r="49" spans="2:24" ht="15.6" x14ac:dyDescent="0.3">
      <c r="B49" s="16"/>
      <c r="C49" s="12" t="s">
        <v>51</v>
      </c>
      <c r="D49" s="33" t="s">
        <v>228</v>
      </c>
      <c r="E49" s="18"/>
      <c r="X49" s="41"/>
    </row>
    <row r="50" spans="2:24" ht="15.6" x14ac:dyDescent="0.3">
      <c r="B50" s="16"/>
      <c r="C50" s="12" t="s">
        <v>206</v>
      </c>
      <c r="D50" s="33" t="s">
        <v>229</v>
      </c>
      <c r="E50" s="18"/>
      <c r="X50" s="41"/>
    </row>
    <row r="51" spans="2:24" ht="15.6" x14ac:dyDescent="0.3">
      <c r="B51" s="16"/>
      <c r="C51" s="12" t="s">
        <v>54</v>
      </c>
      <c r="D51" s="33" t="s">
        <v>230</v>
      </c>
      <c r="E51" s="18"/>
      <c r="X51" s="41"/>
    </row>
    <row r="52" spans="2:24" ht="15.6" x14ac:dyDescent="0.3">
      <c r="B52" s="16"/>
      <c r="C52" s="18"/>
      <c r="D52" s="33"/>
      <c r="E52" s="18"/>
      <c r="X52" s="49"/>
    </row>
    <row r="53" spans="2:24" ht="15.6" x14ac:dyDescent="0.3">
      <c r="B53" s="16"/>
      <c r="C53" s="13" t="s">
        <v>57</v>
      </c>
      <c r="D53" s="44" t="s">
        <v>5</v>
      </c>
      <c r="E53" s="32"/>
      <c r="X53" s="41"/>
    </row>
    <row r="54" spans="2:24" ht="15.6" x14ac:dyDescent="0.3">
      <c r="B54" s="16"/>
      <c r="C54" s="12" t="s">
        <v>59</v>
      </c>
      <c r="D54" s="33">
        <v>0</v>
      </c>
      <c r="E54" s="18"/>
      <c r="X54" s="41"/>
    </row>
    <row r="55" spans="2:24" ht="15.6" x14ac:dyDescent="0.3">
      <c r="B55" s="16"/>
      <c r="C55" s="12" t="s">
        <v>60</v>
      </c>
      <c r="D55" s="33">
        <v>0</v>
      </c>
      <c r="E55" s="18"/>
      <c r="X55" s="41"/>
    </row>
    <row r="56" spans="2:24" ht="15.6" x14ac:dyDescent="0.3">
      <c r="B56" s="16"/>
      <c r="C56" s="12" t="s">
        <v>61</v>
      </c>
      <c r="D56" s="33">
        <v>0</v>
      </c>
      <c r="E56" s="18"/>
      <c r="X56" s="41"/>
    </row>
    <row r="57" spans="2:24" ht="15.6" x14ac:dyDescent="0.3">
      <c r="B57" s="16"/>
      <c r="C57" s="12" t="s">
        <v>62</v>
      </c>
      <c r="D57" s="33">
        <f>SUM(T46:W46)</f>
        <v>174</v>
      </c>
      <c r="E57" s="18"/>
      <c r="X57" s="41"/>
    </row>
    <row r="58" spans="2:24" ht="15.6" x14ac:dyDescent="0.3">
      <c r="B58" s="16"/>
      <c r="C58" s="12" t="s">
        <v>63</v>
      </c>
      <c r="D58" s="33">
        <f>SUM(Y46:AB46)</f>
        <v>0</v>
      </c>
      <c r="E58" s="18"/>
      <c r="X58" s="41"/>
    </row>
    <row r="59" spans="2:24" ht="15.6" x14ac:dyDescent="0.3">
      <c r="B59" s="16"/>
      <c r="C59" s="12" t="s">
        <v>64</v>
      </c>
      <c r="D59" s="33">
        <f>SUM(AC46:AG46)</f>
        <v>0</v>
      </c>
      <c r="E59" s="18"/>
      <c r="X59" s="41"/>
    </row>
    <row r="60" spans="2:24" ht="15.6" x14ac:dyDescent="0.3">
      <c r="B60" s="16"/>
      <c r="C60" s="12" t="s">
        <v>65</v>
      </c>
      <c r="D60" s="33">
        <v>0</v>
      </c>
      <c r="E60" s="18"/>
      <c r="X60" s="41"/>
    </row>
    <row r="61" spans="2:24" ht="15.6" x14ac:dyDescent="0.3">
      <c r="B61" s="16"/>
      <c r="C61" s="12" t="s">
        <v>66</v>
      </c>
      <c r="D61" s="33">
        <v>0</v>
      </c>
      <c r="E61" s="18"/>
      <c r="X61" s="41"/>
    </row>
    <row r="62" spans="2:24" ht="15.6" x14ac:dyDescent="0.3">
      <c r="B62" s="16"/>
      <c r="C62" s="12" t="s">
        <v>67</v>
      </c>
      <c r="D62" s="33">
        <v>0</v>
      </c>
      <c r="E62" s="18"/>
      <c r="X62" s="41"/>
    </row>
    <row r="63" spans="2:24" ht="15.6" x14ac:dyDescent="0.3">
      <c r="B63" s="16"/>
      <c r="C63" s="12" t="s">
        <v>68</v>
      </c>
      <c r="D63" s="33">
        <v>0</v>
      </c>
      <c r="E63" s="18"/>
      <c r="X63" s="41"/>
    </row>
    <row r="64" spans="2:24" ht="15.6" x14ac:dyDescent="0.3">
      <c r="B64" s="16"/>
      <c r="C64" s="12" t="s">
        <v>69</v>
      </c>
      <c r="D64" s="33">
        <v>0</v>
      </c>
      <c r="E64" s="18"/>
      <c r="X64" s="41"/>
    </row>
    <row r="65" spans="2:40" ht="15.6" x14ac:dyDescent="0.3">
      <c r="B65" s="16"/>
      <c r="C65" s="12" t="s">
        <v>70</v>
      </c>
      <c r="D65" s="33">
        <v>0</v>
      </c>
      <c r="E65" s="18"/>
      <c r="X65" s="41"/>
    </row>
    <row r="66" spans="2:40" ht="15.6" x14ac:dyDescent="0.3">
      <c r="B66" s="16"/>
      <c r="C66" s="18"/>
      <c r="D66" s="18"/>
      <c r="E66" s="18"/>
      <c r="X66" s="41"/>
    </row>
    <row r="67" spans="2:40" x14ac:dyDescent="0.3">
      <c r="B67" s="16"/>
      <c r="F67" s="1"/>
      <c r="X67" s="41"/>
    </row>
    <row r="68" spans="2:40" x14ac:dyDescent="0.3">
      <c r="B68" s="16"/>
      <c r="X68" s="41"/>
    </row>
    <row r="69" spans="2:40" x14ac:dyDescent="0.3">
      <c r="B69" s="16"/>
      <c r="X69" s="41"/>
    </row>
    <row r="70" spans="2:40" x14ac:dyDescent="0.3">
      <c r="B70" s="16"/>
      <c r="X70" s="41"/>
    </row>
    <row r="71" spans="2:40" x14ac:dyDescent="0.3">
      <c r="B71" s="16"/>
      <c r="X71" s="41"/>
    </row>
    <row r="72" spans="2:40" x14ac:dyDescent="0.3">
      <c r="B72" s="16"/>
      <c r="X72" s="41"/>
    </row>
    <row r="73" spans="2:40" x14ac:dyDescent="0.3">
      <c r="B73" s="19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50"/>
    </row>
    <row r="76" spans="2:40" x14ac:dyDescent="0.3">
      <c r="B76" s="14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48"/>
    </row>
    <row r="77" spans="2:40" ht="21" x14ac:dyDescent="0.4">
      <c r="B77" s="16"/>
      <c r="C77" s="65" t="s">
        <v>231</v>
      </c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41"/>
    </row>
    <row r="78" spans="2:40" ht="25.8" x14ac:dyDescent="0.5">
      <c r="B78" s="16"/>
      <c r="C78" s="17" t="s">
        <v>232</v>
      </c>
      <c r="D78" s="18"/>
      <c r="E78" s="18"/>
      <c r="X78" s="41"/>
    </row>
    <row r="79" spans="2:40" ht="15.6" x14ac:dyDescent="0.3">
      <c r="B79" s="16"/>
      <c r="C79" s="45" t="s">
        <v>233</v>
      </c>
      <c r="D79" s="44" t="s">
        <v>5</v>
      </c>
      <c r="E79" s="32"/>
      <c r="F79" s="1"/>
      <c r="X79" s="41"/>
    </row>
    <row r="80" spans="2:40" ht="21" x14ac:dyDescent="0.4">
      <c r="B80" s="16"/>
      <c r="C80" s="46" t="s">
        <v>7</v>
      </c>
      <c r="D80" s="33" t="s">
        <v>195</v>
      </c>
      <c r="E80" s="18"/>
      <c r="G80" s="34" t="s">
        <v>9</v>
      </c>
      <c r="H80" s="35" t="s">
        <v>10</v>
      </c>
      <c r="I80" s="35" t="s">
        <v>11</v>
      </c>
      <c r="J80" s="35" t="s">
        <v>12</v>
      </c>
      <c r="K80" s="35" t="s">
        <v>13</v>
      </c>
      <c r="L80" s="35" t="s">
        <v>14</v>
      </c>
      <c r="M80" s="35" t="s">
        <v>15</v>
      </c>
      <c r="N80" s="35" t="s">
        <v>16</v>
      </c>
      <c r="O80" s="35" t="s">
        <v>17</v>
      </c>
      <c r="P80" s="35" t="s">
        <v>18</v>
      </c>
      <c r="Q80" s="35" t="s">
        <v>19</v>
      </c>
      <c r="R80" s="35" t="s">
        <v>20</v>
      </c>
      <c r="S80" s="35" t="s">
        <v>21</v>
      </c>
      <c r="T80" s="35" t="s">
        <v>22</v>
      </c>
      <c r="U80" s="35" t="s">
        <v>23</v>
      </c>
      <c r="V80" s="35" t="s">
        <v>24</v>
      </c>
      <c r="W80" s="35" t="s">
        <v>25</v>
      </c>
      <c r="X80" s="35" t="s">
        <v>26</v>
      </c>
      <c r="Y80" s="35" t="s">
        <v>27</v>
      </c>
      <c r="Z80" s="35" t="s">
        <v>28</v>
      </c>
      <c r="AA80" s="35" t="s">
        <v>29</v>
      </c>
      <c r="AB80" s="35" t="s">
        <v>30</v>
      </c>
      <c r="AC80" s="6" t="s">
        <v>31</v>
      </c>
      <c r="AD80" s="6" t="s">
        <v>32</v>
      </c>
      <c r="AE80" s="6" t="s">
        <v>33</v>
      </c>
      <c r="AF80" s="6" t="s">
        <v>34</v>
      </c>
      <c r="AG80" s="6" t="s">
        <v>35</v>
      </c>
      <c r="AH80" s="6" t="s">
        <v>36</v>
      </c>
      <c r="AI80" s="6" t="s">
        <v>37</v>
      </c>
      <c r="AJ80" s="6" t="s">
        <v>38</v>
      </c>
      <c r="AK80" s="6" t="s">
        <v>40</v>
      </c>
      <c r="AL80" s="6" t="s">
        <v>41</v>
      </c>
      <c r="AM80" s="6" t="s">
        <v>42</v>
      </c>
      <c r="AN80" s="6" t="s">
        <v>43</v>
      </c>
    </row>
    <row r="81" spans="2:40" ht="21" x14ac:dyDescent="0.4">
      <c r="B81" s="16"/>
      <c r="C81" s="12" t="s">
        <v>44</v>
      </c>
      <c r="D81" s="33">
        <v>171005353</v>
      </c>
      <c r="E81" s="18"/>
      <c r="G81" s="37" t="s">
        <v>47</v>
      </c>
      <c r="H81" s="38">
        <v>0</v>
      </c>
      <c r="I81" s="38">
        <v>0</v>
      </c>
      <c r="J81" s="38">
        <v>0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38">
        <v>0</v>
      </c>
      <c r="R81" s="38">
        <v>0</v>
      </c>
      <c r="S81" s="38">
        <v>0</v>
      </c>
      <c r="T81" s="38">
        <v>0</v>
      </c>
      <c r="U81" s="38">
        <v>0</v>
      </c>
      <c r="V81" s="38">
        <v>0</v>
      </c>
      <c r="W81" s="38">
        <v>26</v>
      </c>
      <c r="X81" s="38">
        <v>0</v>
      </c>
      <c r="Y81" s="38">
        <v>0</v>
      </c>
      <c r="Z81" s="38">
        <v>0</v>
      </c>
      <c r="AA81" s="38">
        <v>0</v>
      </c>
      <c r="AB81" s="38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66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</row>
    <row r="82" spans="2:40" ht="21" x14ac:dyDescent="0.4">
      <c r="B82" s="16"/>
      <c r="C82" s="12" t="s">
        <v>48</v>
      </c>
      <c r="D82" s="33" t="s">
        <v>234</v>
      </c>
      <c r="E82" s="18"/>
      <c r="G82" s="39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1"/>
      <c r="AL82" s="7">
        <v>0</v>
      </c>
      <c r="AM82" s="7">
        <v>0</v>
      </c>
      <c r="AN82" s="7">
        <v>0</v>
      </c>
    </row>
    <row r="83" spans="2:40" ht="15.6" x14ac:dyDescent="0.3">
      <c r="B83" s="16"/>
      <c r="C83" s="12" t="s">
        <v>50</v>
      </c>
      <c r="D83" s="47">
        <v>45326</v>
      </c>
      <c r="E83" s="18"/>
      <c r="X83" s="41"/>
    </row>
    <row r="84" spans="2:40" ht="15.6" x14ac:dyDescent="0.3">
      <c r="B84" s="16"/>
      <c r="C84" s="12" t="s">
        <v>51</v>
      </c>
      <c r="D84" s="33" t="s">
        <v>235</v>
      </c>
      <c r="E84" s="18"/>
      <c r="X84" s="41"/>
    </row>
    <row r="85" spans="2:40" ht="15.6" x14ac:dyDescent="0.3">
      <c r="B85" s="16"/>
      <c r="C85" s="12" t="s">
        <v>198</v>
      </c>
      <c r="D85" s="33" t="s">
        <v>236</v>
      </c>
      <c r="E85" s="18"/>
      <c r="X85" s="41"/>
    </row>
    <row r="86" spans="2:40" ht="15.6" x14ac:dyDescent="0.3">
      <c r="B86" s="16"/>
      <c r="C86" s="12" t="s">
        <v>54</v>
      </c>
      <c r="D86" s="33" t="s">
        <v>237</v>
      </c>
      <c r="E86" s="18"/>
      <c r="X86" s="41"/>
    </row>
    <row r="87" spans="2:40" ht="15.6" x14ac:dyDescent="0.3">
      <c r="B87" s="16"/>
      <c r="C87" s="18"/>
      <c r="D87" s="33"/>
      <c r="E87" s="18"/>
      <c r="X87" s="49"/>
    </row>
    <row r="88" spans="2:40" ht="15.6" x14ac:dyDescent="0.3">
      <c r="B88" s="16"/>
      <c r="C88" s="13" t="s">
        <v>57</v>
      </c>
      <c r="D88" s="44" t="s">
        <v>5</v>
      </c>
      <c r="E88" s="32"/>
      <c r="X88" s="41"/>
    </row>
    <row r="89" spans="2:40" ht="15.6" x14ac:dyDescent="0.3">
      <c r="B89" s="16"/>
      <c r="C89" s="12" t="s">
        <v>59</v>
      </c>
      <c r="D89" s="33">
        <f>SUM(H81:K81)</f>
        <v>0</v>
      </c>
      <c r="E89" s="18"/>
      <c r="X89" s="41"/>
    </row>
    <row r="90" spans="2:40" ht="15.6" x14ac:dyDescent="0.3">
      <c r="B90" s="16"/>
      <c r="C90" s="12" t="s">
        <v>60</v>
      </c>
      <c r="D90" s="33">
        <f>SUM(L81:O81)</f>
        <v>0</v>
      </c>
      <c r="E90" s="18"/>
      <c r="X90" s="41"/>
    </row>
    <row r="91" spans="2:40" ht="15.6" x14ac:dyDescent="0.3">
      <c r="B91" s="16"/>
      <c r="C91" s="12" t="s">
        <v>61</v>
      </c>
      <c r="D91" s="33">
        <f>SUM(P81:S81)</f>
        <v>0</v>
      </c>
      <c r="E91" s="18"/>
      <c r="X91" s="41"/>
    </row>
    <row r="92" spans="2:40" ht="15.6" x14ac:dyDescent="0.3">
      <c r="B92" s="16"/>
      <c r="C92" s="12" t="s">
        <v>62</v>
      </c>
      <c r="D92" s="33">
        <f>SUM(T81:W81)</f>
        <v>26</v>
      </c>
      <c r="E92" s="18"/>
      <c r="X92" s="41"/>
    </row>
    <row r="93" spans="2:40" ht="15.6" x14ac:dyDescent="0.3">
      <c r="B93" s="16"/>
      <c r="C93" s="12" t="s">
        <v>63</v>
      </c>
      <c r="D93" s="33">
        <f>SUM(Y81:AB81)</f>
        <v>0</v>
      </c>
      <c r="E93" s="18"/>
      <c r="X93" s="41"/>
    </row>
    <row r="94" spans="2:40" ht="15.6" x14ac:dyDescent="0.3">
      <c r="B94" s="16"/>
      <c r="C94" s="12" t="s">
        <v>64</v>
      </c>
      <c r="D94" s="33">
        <f>SUM(AC81:AG81)</f>
        <v>0</v>
      </c>
      <c r="E94" s="18"/>
      <c r="X94" s="41"/>
    </row>
    <row r="95" spans="2:40" ht="15.6" x14ac:dyDescent="0.3">
      <c r="B95" s="16"/>
      <c r="C95" s="12" t="s">
        <v>65</v>
      </c>
      <c r="D95" s="33">
        <v>66</v>
      </c>
      <c r="E95" s="18"/>
      <c r="X95" s="41"/>
    </row>
    <row r="96" spans="2:40" ht="15.6" x14ac:dyDescent="0.3">
      <c r="B96" s="16"/>
      <c r="C96" s="12" t="s">
        <v>66</v>
      </c>
      <c r="D96" s="33">
        <v>0</v>
      </c>
      <c r="E96" s="18"/>
      <c r="X96" s="41"/>
    </row>
    <row r="97" spans="2:24" ht="15.6" x14ac:dyDescent="0.3">
      <c r="B97" s="16"/>
      <c r="C97" s="12" t="s">
        <v>67</v>
      </c>
      <c r="D97" s="33">
        <v>0</v>
      </c>
      <c r="E97" s="18"/>
      <c r="X97" s="41"/>
    </row>
    <row r="98" spans="2:24" ht="15.6" x14ac:dyDescent="0.3">
      <c r="B98" s="16"/>
      <c r="C98" s="12" t="s">
        <v>68</v>
      </c>
      <c r="D98" s="33">
        <v>0</v>
      </c>
      <c r="E98" s="18"/>
      <c r="X98" s="41"/>
    </row>
    <row r="99" spans="2:24" ht="15.6" x14ac:dyDescent="0.3">
      <c r="B99" s="16"/>
      <c r="C99" s="12" t="s">
        <v>69</v>
      </c>
      <c r="D99" s="33">
        <v>0</v>
      </c>
      <c r="E99" s="18"/>
      <c r="X99" s="41"/>
    </row>
    <row r="100" spans="2:24" ht="15.6" x14ac:dyDescent="0.3">
      <c r="B100" s="16"/>
      <c r="C100" s="12" t="s">
        <v>70</v>
      </c>
      <c r="D100" s="33">
        <v>0</v>
      </c>
      <c r="E100" s="18"/>
      <c r="X100" s="41"/>
    </row>
    <row r="101" spans="2:24" ht="15.6" x14ac:dyDescent="0.3">
      <c r="B101" s="16"/>
      <c r="C101" s="18"/>
      <c r="D101" s="18"/>
      <c r="E101" s="18"/>
      <c r="X101" s="41"/>
    </row>
    <row r="102" spans="2:24" x14ac:dyDescent="0.3">
      <c r="B102" s="16"/>
      <c r="F102" s="1"/>
      <c r="X102" s="41"/>
    </row>
    <row r="103" spans="2:24" x14ac:dyDescent="0.3">
      <c r="B103" s="16"/>
      <c r="X103" s="41"/>
    </row>
    <row r="104" spans="2:24" x14ac:dyDescent="0.3">
      <c r="B104" s="16"/>
      <c r="X104" s="41"/>
    </row>
    <row r="105" spans="2:24" x14ac:dyDescent="0.3">
      <c r="B105" s="16"/>
      <c r="X105" s="41"/>
    </row>
    <row r="106" spans="2:24" x14ac:dyDescent="0.3">
      <c r="B106" s="16"/>
      <c r="X106" s="41"/>
    </row>
    <row r="107" spans="2:24" x14ac:dyDescent="0.3">
      <c r="B107" s="16"/>
      <c r="X107" s="41"/>
    </row>
    <row r="108" spans="2:24" x14ac:dyDescent="0.3">
      <c r="B108" s="19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50"/>
    </row>
    <row r="111" spans="2:24" x14ac:dyDescent="0.3">
      <c r="B111" s="14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48"/>
    </row>
    <row r="122" spans="1:5" ht="18" x14ac:dyDescent="0.35">
      <c r="A122" s="55" t="s">
        <v>109</v>
      </c>
      <c r="B122" s="56"/>
      <c r="C122" s="57" t="s">
        <v>110</v>
      </c>
      <c r="D122" s="57"/>
      <c r="E122" s="57"/>
    </row>
    <row r="123" spans="1:5" ht="28.5" customHeight="1" x14ac:dyDescent="0.35">
      <c r="A123" s="55" t="s">
        <v>111</v>
      </c>
      <c r="B123" s="58"/>
      <c r="C123" s="61"/>
      <c r="D123" s="59"/>
      <c r="E123" s="59"/>
    </row>
    <row r="124" spans="1:5" ht="18" x14ac:dyDescent="0.35">
      <c r="A124" s="55" t="s">
        <v>112</v>
      </c>
      <c r="B124" s="56"/>
      <c r="C124" s="59" t="s">
        <v>113</v>
      </c>
      <c r="D124" s="59"/>
      <c r="E124" s="59"/>
    </row>
    <row r="125" spans="1:5" ht="18" x14ac:dyDescent="0.35">
      <c r="A125" s="55" t="s">
        <v>114</v>
      </c>
      <c r="B125" s="60"/>
      <c r="C125" s="59" t="s">
        <v>115</v>
      </c>
      <c r="D125" s="60"/>
      <c r="E125" s="60"/>
    </row>
  </sheetData>
  <mergeCells count="6">
    <mergeCell ref="C77:W77"/>
    <mergeCell ref="B2:V2"/>
    <mergeCell ref="B3:X3"/>
    <mergeCell ref="C6:W6"/>
    <mergeCell ref="C7:W7"/>
    <mergeCell ref="C42:W42"/>
  </mergeCells>
  <pageMargins left="0.7" right="0.7" top="0.75" bottom="0.75" header="0.3" footer="0.3"/>
  <pageSetup paperSize="8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7101-D495-43CB-96D1-D4BD47CE6DE1}">
  <sheetPr>
    <pageSetUpPr fitToPage="1"/>
  </sheetPr>
  <dimension ref="A2:AN45"/>
  <sheetViews>
    <sheetView zoomScale="78" workbookViewId="0">
      <selection activeCell="AM13" sqref="AM13"/>
    </sheetView>
  </sheetViews>
  <sheetFormatPr defaultRowHeight="14.4" x14ac:dyDescent="0.3"/>
  <cols>
    <col min="1" max="1" width="3.44140625" customWidth="1"/>
    <col min="2" max="2" width="25.5546875" customWidth="1"/>
    <col min="3" max="3" width="13.33203125" customWidth="1"/>
    <col min="4" max="4" width="12.33203125" customWidth="1"/>
    <col min="22" max="22" width="13.33203125" customWidth="1"/>
    <col min="23" max="23" width="11.6640625" bestFit="1" customWidth="1"/>
    <col min="24" max="24" width="11.6640625" customWidth="1"/>
    <col min="25" max="25" width="12.33203125" customWidth="1"/>
    <col min="26" max="26" width="11.33203125" customWidth="1"/>
    <col min="27" max="27" width="12.88671875" customWidth="1"/>
    <col min="28" max="28" width="11.88671875" customWidth="1"/>
    <col min="29" max="29" width="14.5546875" customWidth="1"/>
    <col min="30" max="30" width="14.6640625" customWidth="1"/>
    <col min="31" max="31" width="12.6640625" customWidth="1"/>
    <col min="32" max="32" width="13.109375" customWidth="1"/>
    <col min="33" max="33" width="13.33203125" customWidth="1"/>
    <col min="34" max="34" width="12.5546875" customWidth="1"/>
    <col min="35" max="35" width="13" customWidth="1"/>
    <col min="36" max="36" width="12.6640625" customWidth="1"/>
    <col min="37" max="37" width="12.44140625" customWidth="1"/>
    <col min="38" max="38" width="11.6640625" customWidth="1"/>
    <col min="39" max="39" width="13" customWidth="1"/>
    <col min="40" max="40" width="13.6640625" customWidth="1"/>
  </cols>
  <sheetData>
    <row r="2" spans="1:40" ht="25.8" x14ac:dyDescent="0.5">
      <c r="A2" s="66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25"/>
      <c r="W2" s="25"/>
      <c r="X2" s="25"/>
      <c r="Y2" s="25"/>
      <c r="Z2" s="25"/>
      <c r="AA2" s="25"/>
    </row>
    <row r="3" spans="1:40" ht="21" x14ac:dyDescent="0.4">
      <c r="A3" s="67" t="s">
        <v>238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25"/>
      <c r="Y3" s="25"/>
      <c r="Z3" s="25"/>
      <c r="AA3" s="25"/>
    </row>
    <row r="4" spans="1:40" x14ac:dyDescent="0.3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40" x14ac:dyDescent="0.3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40" ht="25.8" x14ac:dyDescent="0.5">
      <c r="A6" s="25"/>
      <c r="B6" s="66" t="s">
        <v>0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25"/>
      <c r="X6" s="25"/>
      <c r="Y6" s="25"/>
      <c r="Z6" s="25"/>
      <c r="AA6" s="25"/>
    </row>
    <row r="7" spans="1:40" ht="21" x14ac:dyDescent="0.4">
      <c r="A7" s="25"/>
      <c r="B7" s="67" t="s">
        <v>239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25"/>
      <c r="X7" s="25"/>
      <c r="Y7" s="25"/>
      <c r="Z7" s="25"/>
      <c r="AA7" s="25"/>
    </row>
    <row r="8" spans="1:40" ht="25.8" x14ac:dyDescent="0.5">
      <c r="A8" s="25"/>
      <c r="B8" s="53" t="s">
        <v>3</v>
      </c>
      <c r="C8" s="33"/>
      <c r="D8" s="33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1:40" ht="15.6" x14ac:dyDescent="0.3">
      <c r="A9" s="25"/>
      <c r="B9" s="44" t="s">
        <v>240</v>
      </c>
      <c r="C9" s="44" t="s">
        <v>5</v>
      </c>
      <c r="D9" s="44" t="s">
        <v>6</v>
      </c>
      <c r="E9" s="31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40" ht="21" x14ac:dyDescent="0.4">
      <c r="A10" s="25"/>
      <c r="B10" s="33" t="s">
        <v>7</v>
      </c>
      <c r="C10" s="33" t="s">
        <v>241</v>
      </c>
      <c r="D10" s="33" t="s">
        <v>241</v>
      </c>
      <c r="E10" s="25"/>
      <c r="F10" s="37" t="s">
        <v>9</v>
      </c>
      <c r="G10" s="54" t="s">
        <v>10</v>
      </c>
      <c r="H10" s="54" t="s">
        <v>11</v>
      </c>
      <c r="I10" s="54" t="s">
        <v>12</v>
      </c>
      <c r="J10" s="54" t="s">
        <v>13</v>
      </c>
      <c r="K10" s="54" t="s">
        <v>14</v>
      </c>
      <c r="L10" s="54" t="s">
        <v>15</v>
      </c>
      <c r="M10" s="54" t="s">
        <v>16</v>
      </c>
      <c r="N10" s="54" t="s">
        <v>17</v>
      </c>
      <c r="O10" s="54" t="s">
        <v>18</v>
      </c>
      <c r="P10" s="54" t="s">
        <v>19</v>
      </c>
      <c r="Q10" s="54" t="s">
        <v>20</v>
      </c>
      <c r="R10" s="54" t="s">
        <v>21</v>
      </c>
      <c r="S10" s="54" t="s">
        <v>22</v>
      </c>
      <c r="T10" s="54" t="s">
        <v>23</v>
      </c>
      <c r="U10" s="54" t="s">
        <v>24</v>
      </c>
      <c r="V10" s="54" t="s">
        <v>25</v>
      </c>
      <c r="W10" s="54" t="s">
        <v>26</v>
      </c>
      <c r="X10" s="54" t="s">
        <v>27</v>
      </c>
      <c r="Y10" s="54" t="s">
        <v>28</v>
      </c>
      <c r="Z10" s="54" t="s">
        <v>29</v>
      </c>
      <c r="AA10" s="54" t="s">
        <v>30</v>
      </c>
      <c r="AB10" s="6" t="s">
        <v>31</v>
      </c>
      <c r="AC10" s="6" t="s">
        <v>32</v>
      </c>
      <c r="AD10" s="6" t="s">
        <v>33</v>
      </c>
      <c r="AE10" s="6" t="s">
        <v>34</v>
      </c>
      <c r="AF10" s="6" t="s">
        <v>35</v>
      </c>
      <c r="AG10" s="6" t="s">
        <v>36</v>
      </c>
      <c r="AH10" s="6" t="s">
        <v>37</v>
      </c>
      <c r="AI10" s="6" t="s">
        <v>38</v>
      </c>
      <c r="AJ10" s="6" t="s">
        <v>39</v>
      </c>
      <c r="AK10" s="6" t="s">
        <v>40</v>
      </c>
      <c r="AL10" s="35" t="s">
        <v>41</v>
      </c>
      <c r="AM10" s="35" t="s">
        <v>42</v>
      </c>
      <c r="AN10" s="35" t="s">
        <v>43</v>
      </c>
    </row>
    <row r="11" spans="1:40" ht="21" x14ac:dyDescent="0.4">
      <c r="A11" s="25"/>
      <c r="B11" s="33" t="s">
        <v>44</v>
      </c>
      <c r="C11" s="33"/>
      <c r="D11" s="33"/>
      <c r="E11" s="25"/>
      <c r="F11" s="37" t="s">
        <v>47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38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29">
        <v>0</v>
      </c>
      <c r="AL11" s="38">
        <v>0</v>
      </c>
      <c r="AM11" s="38">
        <v>0</v>
      </c>
      <c r="AN11" s="38">
        <v>0</v>
      </c>
    </row>
    <row r="12" spans="1:40" ht="21" x14ac:dyDescent="0.4">
      <c r="A12" s="25"/>
      <c r="B12" s="33" t="s">
        <v>48</v>
      </c>
      <c r="C12" s="33" t="s">
        <v>242</v>
      </c>
      <c r="D12" s="33" t="s">
        <v>243</v>
      </c>
      <c r="E12" s="25"/>
      <c r="F12" s="37" t="s">
        <v>49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  <c r="R12" s="38">
        <v>0</v>
      </c>
      <c r="S12" s="38">
        <v>0</v>
      </c>
      <c r="T12" s="38">
        <v>0</v>
      </c>
      <c r="U12" s="38">
        <v>0</v>
      </c>
      <c r="V12" s="38">
        <v>0</v>
      </c>
      <c r="W12" s="38">
        <v>0</v>
      </c>
      <c r="X12" s="38">
        <v>0</v>
      </c>
      <c r="Y12" s="38"/>
      <c r="Z12" s="38"/>
      <c r="AA12" s="38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29">
        <v>0</v>
      </c>
      <c r="AL12" s="25">
        <v>0</v>
      </c>
      <c r="AM12" s="25"/>
      <c r="AN12" s="25"/>
    </row>
    <row r="13" spans="1:40" ht="15.6" x14ac:dyDescent="0.3">
      <c r="A13" s="25"/>
      <c r="B13" s="33" t="s">
        <v>50</v>
      </c>
      <c r="C13" s="47">
        <v>45419</v>
      </c>
      <c r="D13" s="47">
        <v>45420</v>
      </c>
      <c r="E13" s="25"/>
    </row>
    <row r="14" spans="1:40" ht="15.6" x14ac:dyDescent="0.3">
      <c r="A14" s="25"/>
      <c r="B14" s="33" t="s">
        <v>51</v>
      </c>
      <c r="C14" s="33" t="s">
        <v>244</v>
      </c>
      <c r="D14" s="52" t="s">
        <v>245</v>
      </c>
      <c r="E14" s="25"/>
    </row>
    <row r="15" spans="1:40" ht="15.6" x14ac:dyDescent="0.3">
      <c r="A15" s="25"/>
      <c r="B15" s="33" t="s">
        <v>198</v>
      </c>
      <c r="C15" s="33" t="s">
        <v>246</v>
      </c>
      <c r="D15" s="52" t="s">
        <v>247</v>
      </c>
      <c r="E15" s="25"/>
    </row>
    <row r="16" spans="1:40" ht="15.6" x14ac:dyDescent="0.3">
      <c r="A16" s="25"/>
      <c r="B16" s="33" t="s">
        <v>54</v>
      </c>
      <c r="C16" s="33" t="s">
        <v>248</v>
      </c>
      <c r="D16" s="52" t="s">
        <v>249</v>
      </c>
      <c r="E16" s="25"/>
    </row>
    <row r="17" spans="1:5" ht="15.6" x14ac:dyDescent="0.3">
      <c r="A17" s="25"/>
      <c r="B17" s="33"/>
      <c r="C17" s="33"/>
      <c r="D17" s="33"/>
      <c r="E17" s="25"/>
    </row>
    <row r="18" spans="1:5" ht="15.6" x14ac:dyDescent="0.3">
      <c r="A18" s="25"/>
      <c r="B18" s="44" t="s">
        <v>57</v>
      </c>
      <c r="C18" s="44" t="s">
        <v>5</v>
      </c>
      <c r="D18" s="44" t="s">
        <v>58</v>
      </c>
      <c r="E18" s="25"/>
    </row>
    <row r="19" spans="1:5" ht="15.6" x14ac:dyDescent="0.3">
      <c r="A19" s="25"/>
      <c r="B19" s="33" t="s">
        <v>59</v>
      </c>
      <c r="C19" s="33">
        <f>SUM(G11:J11)</f>
        <v>0</v>
      </c>
      <c r="D19" s="33">
        <f>SUM(G12:J12)</f>
        <v>0</v>
      </c>
      <c r="E19" s="25"/>
    </row>
    <row r="20" spans="1:5" ht="15.6" x14ac:dyDescent="0.3">
      <c r="A20" s="25"/>
      <c r="B20" s="33" t="s">
        <v>60</v>
      </c>
      <c r="C20" s="33">
        <f>SUM(K11:N11)</f>
        <v>0</v>
      </c>
      <c r="D20" s="33">
        <f>SUM(K12:N12)</f>
        <v>0</v>
      </c>
      <c r="E20" s="25"/>
    </row>
    <row r="21" spans="1:5" ht="15.6" x14ac:dyDescent="0.3">
      <c r="A21" s="25"/>
      <c r="B21" s="33" t="s">
        <v>61</v>
      </c>
      <c r="C21" s="33">
        <f>SUM(O11:R11)</f>
        <v>0</v>
      </c>
      <c r="D21" s="33">
        <f>SUM(O12:R12)</f>
        <v>0</v>
      </c>
      <c r="E21" s="25"/>
    </row>
    <row r="22" spans="1:5" ht="15.6" x14ac:dyDescent="0.3">
      <c r="A22" s="25"/>
      <c r="B22" s="33" t="s">
        <v>62</v>
      </c>
      <c r="C22" s="33">
        <f>SUM(S11:V11)</f>
        <v>0</v>
      </c>
      <c r="D22" s="33">
        <f>SUM(S12:V12)</f>
        <v>0</v>
      </c>
      <c r="E22" s="25"/>
    </row>
    <row r="23" spans="1:5" ht="15.6" x14ac:dyDescent="0.3">
      <c r="A23" s="25"/>
      <c r="B23" s="33" t="s">
        <v>63</v>
      </c>
      <c r="C23" s="33">
        <f>SUM(X11:AA11)</f>
        <v>0</v>
      </c>
      <c r="D23" s="33">
        <f>SUM(X12:AA12)</f>
        <v>0</v>
      </c>
      <c r="E23" s="25"/>
    </row>
    <row r="24" spans="1:5" ht="15.6" x14ac:dyDescent="0.3">
      <c r="A24" s="25"/>
      <c r="B24" s="33" t="s">
        <v>64</v>
      </c>
      <c r="C24" s="33">
        <f>SUM(AB11:AF11)</f>
        <v>0</v>
      </c>
      <c r="D24" s="33">
        <v>0</v>
      </c>
      <c r="E24" s="25"/>
    </row>
    <row r="25" spans="1:5" ht="15.6" x14ac:dyDescent="0.3">
      <c r="A25" s="25"/>
      <c r="B25" s="33" t="s">
        <v>65</v>
      </c>
      <c r="C25" s="33">
        <v>0</v>
      </c>
      <c r="D25" s="33">
        <v>0</v>
      </c>
      <c r="E25" s="25"/>
    </row>
    <row r="26" spans="1:5" ht="15.6" x14ac:dyDescent="0.3">
      <c r="A26" s="25"/>
      <c r="B26" s="33" t="s">
        <v>66</v>
      </c>
      <c r="C26" s="33">
        <v>0</v>
      </c>
      <c r="D26" s="33">
        <v>0</v>
      </c>
      <c r="E26" s="25"/>
    </row>
    <row r="27" spans="1:5" ht="15.6" x14ac:dyDescent="0.3">
      <c r="A27" s="25"/>
      <c r="B27" s="33" t="s">
        <v>67</v>
      </c>
      <c r="C27" s="33">
        <v>0</v>
      </c>
      <c r="D27" s="33">
        <v>0</v>
      </c>
      <c r="E27" s="25"/>
    </row>
    <row r="28" spans="1:5" ht="15.6" x14ac:dyDescent="0.3">
      <c r="A28" s="25"/>
      <c r="B28" s="33" t="s">
        <v>68</v>
      </c>
      <c r="C28" s="33">
        <v>0</v>
      </c>
      <c r="D28" s="33">
        <v>0</v>
      </c>
      <c r="E28" s="25"/>
    </row>
    <row r="29" spans="1:5" ht="15.6" x14ac:dyDescent="0.3">
      <c r="A29" s="25"/>
      <c r="B29" s="33" t="s">
        <v>69</v>
      </c>
      <c r="C29" s="33">
        <v>0</v>
      </c>
      <c r="D29" s="33">
        <v>0</v>
      </c>
      <c r="E29" s="25"/>
    </row>
    <row r="30" spans="1:5" ht="15.6" x14ac:dyDescent="0.3">
      <c r="A30" s="25"/>
      <c r="B30" s="33" t="s">
        <v>70</v>
      </c>
      <c r="C30" s="33">
        <v>0</v>
      </c>
      <c r="D30" s="33">
        <v>0</v>
      </c>
      <c r="E30" s="25"/>
    </row>
    <row r="31" spans="1:5" ht="15.6" x14ac:dyDescent="0.3">
      <c r="A31" s="25"/>
      <c r="B31" s="33"/>
      <c r="C31" s="33"/>
      <c r="D31" s="33"/>
      <c r="E31" s="25"/>
    </row>
    <row r="32" spans="1:5" x14ac:dyDescent="0.3">
      <c r="A32" s="25"/>
      <c r="B32" s="25"/>
      <c r="C32" s="25"/>
      <c r="D32" s="25"/>
      <c r="E32" s="31"/>
    </row>
    <row r="33" spans="1:6" x14ac:dyDescent="0.3">
      <c r="A33" s="25"/>
      <c r="B33" s="25"/>
      <c r="C33" s="25"/>
      <c r="D33" s="25"/>
      <c r="E33" s="25"/>
    </row>
    <row r="34" spans="1:6" x14ac:dyDescent="0.3">
      <c r="A34" s="25"/>
      <c r="B34" s="25"/>
      <c r="C34" s="25"/>
      <c r="D34" s="25"/>
      <c r="E34" s="25"/>
    </row>
    <row r="35" spans="1:6" x14ac:dyDescent="0.3">
      <c r="A35" s="25"/>
      <c r="B35" s="25"/>
      <c r="C35" s="25"/>
      <c r="D35" s="25"/>
      <c r="E35" s="25"/>
    </row>
    <row r="36" spans="1:6" x14ac:dyDescent="0.3">
      <c r="A36" s="25"/>
      <c r="B36" s="25"/>
      <c r="C36" s="25"/>
      <c r="D36" s="25"/>
      <c r="E36" s="25"/>
    </row>
    <row r="37" spans="1:6" x14ac:dyDescent="0.3">
      <c r="A37" s="25"/>
      <c r="B37" s="25"/>
      <c r="C37" s="25"/>
      <c r="D37" s="25"/>
      <c r="E37" s="25"/>
    </row>
    <row r="42" spans="1:6" ht="18" x14ac:dyDescent="0.35">
      <c r="B42" s="55" t="s">
        <v>109</v>
      </c>
      <c r="C42" s="56"/>
      <c r="D42" s="57" t="s">
        <v>110</v>
      </c>
      <c r="E42" s="57"/>
      <c r="F42" s="57"/>
    </row>
    <row r="43" spans="1:6" ht="30.75" customHeight="1" x14ac:dyDescent="0.35">
      <c r="B43" s="55" t="s">
        <v>111</v>
      </c>
      <c r="C43" s="58"/>
      <c r="D43" s="61"/>
      <c r="E43" s="59"/>
      <c r="F43" s="59"/>
    </row>
    <row r="44" spans="1:6" ht="18" x14ac:dyDescent="0.35">
      <c r="B44" s="55" t="s">
        <v>112</v>
      </c>
      <c r="C44" s="56"/>
      <c r="D44" s="59" t="s">
        <v>113</v>
      </c>
      <c r="E44" s="59"/>
      <c r="F44" s="59"/>
    </row>
    <row r="45" spans="1:6" ht="18" x14ac:dyDescent="0.35">
      <c r="B45" s="55" t="s">
        <v>114</v>
      </c>
      <c r="C45" s="60"/>
      <c r="D45" s="59" t="s">
        <v>115</v>
      </c>
      <c r="E45" s="60"/>
      <c r="F45" s="60"/>
    </row>
  </sheetData>
  <mergeCells count="4">
    <mergeCell ref="A2:U2"/>
    <mergeCell ref="A3:W3"/>
    <mergeCell ref="B6:V6"/>
    <mergeCell ref="B7:V7"/>
  </mergeCells>
  <pageMargins left="0.7" right="0.7" top="0.75" bottom="0.75" header="0.3" footer="0.3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NLD 9</vt:lpstr>
      <vt:lpstr>Cost per Generator</vt:lpstr>
      <vt:lpstr>NLD 10</vt:lpstr>
      <vt:lpstr>NLD 1</vt:lpstr>
      <vt:lpstr>NLD 2</vt:lpstr>
      <vt:lpstr>Yzerfontein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Samo Operations</dc:creator>
  <cp:keywords/>
  <dc:description/>
  <cp:lastModifiedBy>Sakhile Ndlovu</cp:lastModifiedBy>
  <cp:revision/>
  <dcterms:created xsi:type="dcterms:W3CDTF">2025-07-07T00:04:51Z</dcterms:created>
  <dcterms:modified xsi:type="dcterms:W3CDTF">2026-01-05T11:52:19Z</dcterms:modified>
  <cp:category/>
  <cp:contentStatus/>
</cp:coreProperties>
</file>